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K unity\"/>
    </mc:Choice>
  </mc:AlternateContent>
  <bookViews>
    <workbookView xWindow="0" yWindow="0" windowWidth="24000" windowHeight="10920" activeTab="1"/>
  </bookViews>
  <sheets>
    <sheet name="Operating model" sheetId="2" r:id="rId1"/>
    <sheet name="DDM" sheetId="3" r:id="rId2"/>
    <sheet name="Cost of Equity" sheetId="4" r:id="rId3"/>
    <sheet name="Wangige Historicals" sheetId="9" r:id="rId4"/>
    <sheet name="K unity Historicals" sheetId="8" r:id="rId5"/>
    <sheet name="2025 Data" sheetId="1" r:id="rId6"/>
    <sheet name="2024 Data" sheetId="6" r:id="rId7"/>
    <sheet name="2023 Data" sheetId="7" r:id="rId8"/>
  </sheets>
  <calcPr calcId="162913" iterateCount="25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E37" i="3"/>
  <c r="E38" i="3" s="1"/>
  <c r="E39" i="3" s="1"/>
  <c r="E40" i="3" s="1"/>
  <c r="E41" i="3" s="1"/>
  <c r="E42" i="3" s="1"/>
  <c r="E43" i="3" s="1"/>
  <c r="G35" i="3"/>
  <c r="H35" i="3" s="1"/>
  <c r="I35" i="3" s="1"/>
  <c r="J35" i="3" s="1"/>
  <c r="K35" i="3" s="1"/>
  <c r="L35" i="3" s="1"/>
  <c r="M35" i="3" s="1"/>
  <c r="V147" i="2" l="1"/>
  <c r="U147" i="2"/>
  <c r="T147" i="2"/>
  <c r="S147" i="2"/>
  <c r="R147" i="2"/>
  <c r="Q147" i="2"/>
  <c r="P147" i="2"/>
  <c r="O147" i="2"/>
  <c r="N147" i="2"/>
  <c r="M147" i="2"/>
  <c r="H147" i="2"/>
  <c r="I147" i="2"/>
  <c r="G147" i="2"/>
  <c r="I10" i="2" l="1"/>
  <c r="H10" i="2"/>
  <c r="H11" i="2"/>
  <c r="H20" i="2"/>
  <c r="D2" i="1" l="1"/>
  <c r="D2" i="6"/>
  <c r="C322" i="6"/>
  <c r="C288" i="6"/>
  <c r="C276" i="6"/>
  <c r="C242" i="6"/>
  <c r="E332" i="6"/>
  <c r="E331" i="6"/>
  <c r="E330" i="6"/>
  <c r="E329" i="6"/>
  <c r="E328" i="6"/>
  <c r="E327" i="6"/>
  <c r="E326" i="6"/>
  <c r="E325" i="6"/>
  <c r="E324" i="6"/>
  <c r="E320" i="6"/>
  <c r="E318" i="6"/>
  <c r="E317" i="6"/>
  <c r="E316" i="6"/>
  <c r="E314" i="6"/>
  <c r="E312" i="6"/>
  <c r="E310" i="6"/>
  <c r="E308" i="6"/>
  <c r="E307" i="6"/>
  <c r="E306" i="6"/>
  <c r="E305" i="6"/>
  <c r="E303" i="6"/>
  <c r="E301" i="6"/>
  <c r="E299" i="6"/>
  <c r="E298" i="6"/>
  <c r="E297" i="6"/>
  <c r="E296" i="6"/>
  <c r="E295" i="6"/>
  <c r="E293" i="6"/>
  <c r="E292" i="6"/>
  <c r="E291" i="6"/>
  <c r="E290" i="6"/>
  <c r="E286" i="6"/>
  <c r="E285" i="6"/>
  <c r="E284" i="6"/>
  <c r="E283" i="6"/>
  <c r="E282" i="6"/>
  <c r="E281" i="6"/>
  <c r="E280" i="6"/>
  <c r="E279" i="6"/>
  <c r="E278" i="6"/>
  <c r="E274" i="6"/>
  <c r="E272" i="6"/>
  <c r="E271" i="6"/>
  <c r="E270" i="6"/>
  <c r="E268" i="6"/>
  <c r="E266" i="6"/>
  <c r="E264" i="6"/>
  <c r="E262" i="6"/>
  <c r="E261" i="6"/>
  <c r="E260" i="6"/>
  <c r="E259" i="6"/>
  <c r="E257" i="6"/>
  <c r="E255" i="6"/>
  <c r="E253" i="6"/>
  <c r="E252" i="6"/>
  <c r="E251" i="6"/>
  <c r="E250" i="6"/>
  <c r="E249" i="6"/>
  <c r="E247" i="6"/>
  <c r="E246" i="6"/>
  <c r="E245" i="6"/>
  <c r="E244" i="6"/>
  <c r="E240" i="6"/>
  <c r="E239" i="6"/>
  <c r="E238" i="6"/>
  <c r="E237" i="6"/>
  <c r="E236" i="6"/>
  <c r="E232" i="6"/>
  <c r="E230" i="6"/>
  <c r="E228" i="6"/>
  <c r="E227" i="6"/>
  <c r="E226" i="6"/>
  <c r="E225" i="6"/>
  <c r="E224" i="6"/>
  <c r="E223" i="6"/>
  <c r="E221" i="6"/>
  <c r="E219" i="6"/>
  <c r="E218" i="6"/>
  <c r="E217" i="6"/>
  <c r="E215" i="6"/>
  <c r="E214" i="6"/>
  <c r="E213" i="6"/>
  <c r="E212" i="6"/>
  <c r="E210" i="6"/>
  <c r="E209" i="6"/>
  <c r="E208" i="6"/>
  <c r="E207" i="6"/>
  <c r="E206" i="6"/>
  <c r="E205" i="6"/>
  <c r="E204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C234" i="6"/>
  <c r="C181" i="6"/>
  <c r="D93" i="6"/>
  <c r="H50" i="2"/>
  <c r="H49" i="2"/>
  <c r="H46" i="2"/>
  <c r="J89" i="1" l="1"/>
  <c r="H45" i="7"/>
  <c r="F12" i="7"/>
  <c r="H71" i="7"/>
  <c r="H78" i="7"/>
  <c r="H80" i="7"/>
  <c r="I49" i="2"/>
  <c r="H47" i="2"/>
  <c r="H48" i="2"/>
  <c r="J2" i="8"/>
  <c r="K2" i="8"/>
  <c r="L2" i="8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H331" i="1"/>
  <c r="G331" i="1"/>
  <c r="H330" i="1"/>
  <c r="G330" i="1"/>
  <c r="H329" i="1"/>
  <c r="G329" i="1"/>
  <c r="H328" i="1"/>
  <c r="G328" i="1"/>
  <c r="H327" i="1"/>
  <c r="G327" i="1"/>
  <c r="H326" i="1"/>
  <c r="G326" i="1"/>
  <c r="H324" i="1"/>
  <c r="G324" i="1"/>
  <c r="H323" i="1"/>
  <c r="G323" i="1"/>
  <c r="H322" i="1"/>
  <c r="G322" i="1"/>
  <c r="C322" i="1"/>
  <c r="H321" i="1"/>
  <c r="G321" i="1"/>
  <c r="H320" i="1"/>
  <c r="G320" i="1"/>
  <c r="H319" i="1"/>
  <c r="G319" i="1"/>
  <c r="H317" i="1"/>
  <c r="G317" i="1"/>
  <c r="H316" i="1"/>
  <c r="G316" i="1"/>
  <c r="H315" i="1"/>
  <c r="G315" i="1"/>
  <c r="H314" i="1"/>
  <c r="G314" i="1"/>
  <c r="H313" i="1"/>
  <c r="G313" i="1"/>
  <c r="H311" i="1"/>
  <c r="G311" i="1"/>
  <c r="H309" i="1"/>
  <c r="G309" i="1"/>
  <c r="H307" i="1"/>
  <c r="G307" i="1"/>
  <c r="H306" i="1"/>
  <c r="G306" i="1"/>
  <c r="H305" i="1"/>
  <c r="G305" i="1"/>
  <c r="H304" i="1"/>
  <c r="G304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H302" i="1"/>
  <c r="G302" i="1"/>
  <c r="H300" i="1"/>
  <c r="G300" i="1"/>
  <c r="H298" i="1"/>
  <c r="G298" i="1"/>
  <c r="H297" i="1"/>
  <c r="G297" i="1"/>
  <c r="H296" i="1"/>
  <c r="G296" i="1"/>
  <c r="H295" i="1"/>
  <c r="G295" i="1"/>
  <c r="H294" i="1"/>
  <c r="G294" i="1"/>
  <c r="H292" i="1"/>
  <c r="G292" i="1"/>
  <c r="H291" i="1"/>
  <c r="G291" i="1"/>
  <c r="H290" i="1"/>
  <c r="G290" i="1"/>
  <c r="H289" i="1"/>
  <c r="G289" i="1"/>
  <c r="G290" i="6"/>
  <c r="H290" i="6"/>
  <c r="G291" i="6"/>
  <c r="H291" i="6"/>
  <c r="G292" i="6"/>
  <c r="H292" i="6"/>
  <c r="G293" i="6"/>
  <c r="H293" i="6"/>
  <c r="G295" i="6"/>
  <c r="H295" i="6"/>
  <c r="G296" i="6"/>
  <c r="H296" i="6"/>
  <c r="G297" i="6"/>
  <c r="H297" i="6"/>
  <c r="G298" i="6"/>
  <c r="H298" i="6"/>
  <c r="G299" i="6"/>
  <c r="H299" i="6"/>
  <c r="G301" i="6"/>
  <c r="H301" i="6"/>
  <c r="G303" i="6"/>
  <c r="H303" i="6"/>
  <c r="G304" i="6"/>
  <c r="H304" i="6"/>
  <c r="I304" i="6"/>
  <c r="J304" i="6"/>
  <c r="K304" i="6"/>
  <c r="L304" i="6"/>
  <c r="M304" i="6"/>
  <c r="N304" i="6"/>
  <c r="O304" i="6"/>
  <c r="P304" i="6"/>
  <c r="Q304" i="6"/>
  <c r="R304" i="6"/>
  <c r="S304" i="6"/>
  <c r="T304" i="6"/>
  <c r="U304" i="6"/>
  <c r="V304" i="6"/>
  <c r="W304" i="6"/>
  <c r="X304" i="6"/>
  <c r="G305" i="6"/>
  <c r="H305" i="6"/>
  <c r="G306" i="6"/>
  <c r="H306" i="6"/>
  <c r="G307" i="6"/>
  <c r="H307" i="6"/>
  <c r="G308" i="6"/>
  <c r="H308" i="6"/>
  <c r="G310" i="6"/>
  <c r="H310" i="6"/>
  <c r="G312" i="6"/>
  <c r="H312" i="6"/>
  <c r="G314" i="6"/>
  <c r="H314" i="6"/>
  <c r="G315" i="6"/>
  <c r="H315" i="6"/>
  <c r="G316" i="6"/>
  <c r="H316" i="6"/>
  <c r="G317" i="6"/>
  <c r="H317" i="6"/>
  <c r="G318" i="6"/>
  <c r="H318" i="6"/>
  <c r="G320" i="6"/>
  <c r="H320" i="6"/>
  <c r="G321" i="6"/>
  <c r="H321" i="6"/>
  <c r="G322" i="6"/>
  <c r="H322" i="6"/>
  <c r="G323" i="6"/>
  <c r="H323" i="6"/>
  <c r="G324" i="6"/>
  <c r="H324" i="6"/>
  <c r="G325" i="6"/>
  <c r="H325" i="6"/>
  <c r="G327" i="6"/>
  <c r="H327" i="6"/>
  <c r="G328" i="6"/>
  <c r="H328" i="6"/>
  <c r="G329" i="6"/>
  <c r="H329" i="6"/>
  <c r="G330" i="6"/>
  <c r="H330" i="6"/>
  <c r="G331" i="6"/>
  <c r="H331" i="6"/>
  <c r="G332" i="6"/>
  <c r="H332" i="6"/>
  <c r="C300" i="6"/>
  <c r="C302" i="6"/>
  <c r="C304" i="6"/>
  <c r="C309" i="6"/>
  <c r="C311" i="6"/>
  <c r="C313" i="6"/>
  <c r="C315" i="6"/>
  <c r="C319" i="6"/>
  <c r="C321" i="6"/>
  <c r="C323" i="6"/>
  <c r="C333" i="6"/>
  <c r="F24" i="6"/>
  <c r="W17" i="6"/>
  <c r="U17" i="6"/>
  <c r="S17" i="6"/>
  <c r="R17" i="6"/>
  <c r="P17" i="6"/>
  <c r="M17" i="6"/>
  <c r="J17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N17" i="6"/>
  <c r="L17" i="6"/>
  <c r="I17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F59" i="6"/>
  <c r="X85" i="6"/>
  <c r="W85" i="6"/>
  <c r="V85" i="6"/>
  <c r="U85" i="6"/>
  <c r="T85" i="6"/>
  <c r="S85" i="6"/>
  <c r="R85" i="6"/>
  <c r="Q85" i="6"/>
  <c r="P85" i="6"/>
  <c r="O85" i="6"/>
  <c r="N85" i="6"/>
  <c r="M85" i="6"/>
  <c r="L85" i="6"/>
  <c r="K85" i="6"/>
  <c r="J85" i="6"/>
  <c r="I8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4" i="6"/>
  <c r="I75" i="6" s="1"/>
  <c r="R58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W39" i="6"/>
  <c r="X39" i="6"/>
  <c r="I39" i="6"/>
  <c r="F38" i="6"/>
  <c r="I12" i="6" l="1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6" i="6"/>
  <c r="H103" i="2"/>
  <c r="I50" i="2"/>
  <c r="G72" i="2"/>
  <c r="G130" i="2"/>
  <c r="G136" i="2" s="1"/>
  <c r="G137" i="2" s="1"/>
  <c r="G75" i="2"/>
  <c r="G112" i="2"/>
  <c r="G115" i="2"/>
  <c r="G114" i="2"/>
  <c r="G144" i="2"/>
  <c r="G145" i="2" s="1"/>
  <c r="G117" i="2"/>
  <c r="G113" i="2"/>
  <c r="G36" i="2"/>
  <c r="G40" i="2" s="1"/>
  <c r="H75" i="2"/>
  <c r="G87" i="2"/>
  <c r="G16" i="2" s="1"/>
  <c r="G67" i="2"/>
  <c r="H17" i="2"/>
  <c r="H14" i="2"/>
  <c r="H13" i="2"/>
  <c r="G4" i="2"/>
  <c r="H3" i="2"/>
  <c r="F85" i="7"/>
  <c r="F82" i="7"/>
  <c r="H82" i="7" s="1"/>
  <c r="F75" i="7"/>
  <c r="F66" i="7"/>
  <c r="F50" i="7"/>
  <c r="F49" i="7"/>
  <c r="F37" i="7"/>
  <c r="F39" i="7" s="1"/>
  <c r="F17" i="7"/>
  <c r="F15" i="8" s="1"/>
  <c r="F14" i="7"/>
  <c r="F12" i="8" s="1"/>
  <c r="F10" i="8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5" i="9"/>
  <c r="G25" i="9"/>
  <c r="J25" i="9" s="1"/>
  <c r="F26" i="9"/>
  <c r="G26" i="9"/>
  <c r="F27" i="9"/>
  <c r="G27" i="9"/>
  <c r="J27" i="9" s="1"/>
  <c r="F28" i="9"/>
  <c r="G28" i="9"/>
  <c r="F29" i="9"/>
  <c r="G29" i="9"/>
  <c r="J29" i="9" s="1"/>
  <c r="F30" i="9"/>
  <c r="G30" i="9"/>
  <c r="F33" i="9"/>
  <c r="G33" i="9"/>
  <c r="F34" i="9"/>
  <c r="G34" i="9"/>
  <c r="F35" i="9"/>
  <c r="G35" i="9"/>
  <c r="F38" i="9"/>
  <c r="G38" i="9"/>
  <c r="F39" i="9"/>
  <c r="G39" i="9"/>
  <c r="F44" i="9"/>
  <c r="G44" i="9"/>
  <c r="F45" i="9"/>
  <c r="G45" i="9"/>
  <c r="J45" i="9" s="1"/>
  <c r="F46" i="9"/>
  <c r="G46" i="9"/>
  <c r="F47" i="9"/>
  <c r="G47" i="9"/>
  <c r="J47" i="9" s="1"/>
  <c r="F51" i="9"/>
  <c r="G51" i="9"/>
  <c r="F55" i="9"/>
  <c r="G55" i="9"/>
  <c r="F56" i="9"/>
  <c r="G56" i="9"/>
  <c r="F57" i="9"/>
  <c r="G57" i="9"/>
  <c r="F60" i="9"/>
  <c r="G60" i="9"/>
  <c r="F61" i="9"/>
  <c r="G61" i="9"/>
  <c r="F62" i="9"/>
  <c r="G62" i="9"/>
  <c r="F63" i="9"/>
  <c r="G63" i="9"/>
  <c r="F66" i="9"/>
  <c r="G66" i="9"/>
  <c r="F68" i="9"/>
  <c r="G68" i="9"/>
  <c r="F70" i="9"/>
  <c r="G70" i="9"/>
  <c r="F71" i="9"/>
  <c r="G71" i="9"/>
  <c r="F75" i="9"/>
  <c r="G75" i="9"/>
  <c r="F77" i="9"/>
  <c r="G77" i="9"/>
  <c r="F79" i="9"/>
  <c r="G79" i="9"/>
  <c r="F81" i="9"/>
  <c r="G81" i="9"/>
  <c r="G4" i="9"/>
  <c r="F4" i="9"/>
  <c r="E87" i="9"/>
  <c r="D87" i="9"/>
  <c r="E85" i="9"/>
  <c r="D85" i="9"/>
  <c r="E83" i="9"/>
  <c r="D83" i="9"/>
  <c r="E82" i="9"/>
  <c r="D82" i="9"/>
  <c r="E81" i="9"/>
  <c r="D81" i="9"/>
  <c r="E79" i="9"/>
  <c r="D79" i="9"/>
  <c r="E77" i="9"/>
  <c r="D77" i="9"/>
  <c r="E75" i="9"/>
  <c r="D75" i="9"/>
  <c r="E73" i="9"/>
  <c r="D73" i="9"/>
  <c r="E72" i="9"/>
  <c r="D72" i="9"/>
  <c r="E71" i="9"/>
  <c r="D71" i="9"/>
  <c r="E70" i="9"/>
  <c r="D70" i="9"/>
  <c r="E68" i="9"/>
  <c r="D68" i="9"/>
  <c r="E66" i="9"/>
  <c r="D66" i="9"/>
  <c r="E64" i="9"/>
  <c r="D64" i="9"/>
  <c r="E63" i="9"/>
  <c r="D63" i="9"/>
  <c r="E62" i="9"/>
  <c r="D62" i="9"/>
  <c r="E61" i="9"/>
  <c r="D61" i="9"/>
  <c r="E60" i="9"/>
  <c r="D60" i="9"/>
  <c r="E58" i="9"/>
  <c r="D58" i="9"/>
  <c r="E57" i="9"/>
  <c r="D57" i="9"/>
  <c r="E56" i="9"/>
  <c r="D56" i="9"/>
  <c r="E55" i="9"/>
  <c r="D55" i="9"/>
  <c r="E53" i="9"/>
  <c r="D53" i="9"/>
  <c r="E51" i="9"/>
  <c r="D51" i="9"/>
  <c r="E49" i="9"/>
  <c r="D49" i="9"/>
  <c r="E48" i="9"/>
  <c r="D48" i="9"/>
  <c r="E47" i="9"/>
  <c r="D47" i="9"/>
  <c r="E46" i="9"/>
  <c r="D46" i="9"/>
  <c r="E45" i="9"/>
  <c r="D45" i="9"/>
  <c r="E44" i="9"/>
  <c r="D44" i="9"/>
  <c r="E42" i="9"/>
  <c r="D42" i="9"/>
  <c r="E40" i="9"/>
  <c r="D40" i="9"/>
  <c r="E39" i="9"/>
  <c r="D39" i="9"/>
  <c r="E38" i="9"/>
  <c r="D38" i="9"/>
  <c r="E36" i="9"/>
  <c r="D36" i="9"/>
  <c r="E35" i="9"/>
  <c r="D35" i="9"/>
  <c r="E34" i="9"/>
  <c r="D34" i="9"/>
  <c r="E33" i="9"/>
  <c r="D33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3" i="9"/>
  <c r="D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H32" i="8"/>
  <c r="H37" i="8"/>
  <c r="H41" i="8"/>
  <c r="H43" i="8"/>
  <c r="H50" i="8"/>
  <c r="H51" i="8"/>
  <c r="H52" i="8"/>
  <c r="H54" i="8"/>
  <c r="H59" i="8"/>
  <c r="H65" i="8"/>
  <c r="H67" i="8"/>
  <c r="H69" i="8"/>
  <c r="H74" i="8"/>
  <c r="H76" i="8"/>
  <c r="H78" i="8"/>
  <c r="H80" i="8"/>
  <c r="H84" i="8"/>
  <c r="H86" i="8"/>
  <c r="G32" i="8"/>
  <c r="G37" i="8"/>
  <c r="G41" i="8"/>
  <c r="G43" i="8"/>
  <c r="G50" i="8"/>
  <c r="G51" i="8"/>
  <c r="G52" i="8"/>
  <c r="G54" i="8"/>
  <c r="G59" i="8"/>
  <c r="G65" i="8"/>
  <c r="G67" i="8"/>
  <c r="G69" i="8"/>
  <c r="G74" i="8"/>
  <c r="G76" i="8"/>
  <c r="G78" i="8"/>
  <c r="G80" i="8"/>
  <c r="G84" i="8"/>
  <c r="G86" i="8"/>
  <c r="F5" i="8"/>
  <c r="F6" i="8"/>
  <c r="F7" i="8"/>
  <c r="F8" i="8"/>
  <c r="F9" i="8"/>
  <c r="F11" i="8"/>
  <c r="F13" i="8"/>
  <c r="F14" i="8"/>
  <c r="F16" i="8"/>
  <c r="F17" i="8"/>
  <c r="F18" i="8"/>
  <c r="F19" i="8"/>
  <c r="F20" i="8"/>
  <c r="F21" i="8"/>
  <c r="F22" i="8"/>
  <c r="F25" i="8"/>
  <c r="F26" i="8"/>
  <c r="F27" i="8"/>
  <c r="F28" i="8"/>
  <c r="F29" i="8"/>
  <c r="F30" i="8"/>
  <c r="F32" i="8"/>
  <c r="F33" i="8"/>
  <c r="F34" i="8"/>
  <c r="F37" i="8"/>
  <c r="F41" i="8"/>
  <c r="F43" i="8"/>
  <c r="F50" i="8"/>
  <c r="F51" i="8"/>
  <c r="F52" i="8"/>
  <c r="F54" i="8"/>
  <c r="F59" i="8"/>
  <c r="F65" i="8"/>
  <c r="F67" i="8"/>
  <c r="F69" i="8"/>
  <c r="F74" i="8"/>
  <c r="F76" i="8"/>
  <c r="F78" i="8"/>
  <c r="F80" i="8"/>
  <c r="F84" i="8"/>
  <c r="F86" i="8"/>
  <c r="F4" i="8"/>
  <c r="D44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5" i="8"/>
  <c r="D26" i="8"/>
  <c r="D27" i="8"/>
  <c r="D28" i="8"/>
  <c r="D29" i="8"/>
  <c r="D30" i="8"/>
  <c r="D31" i="8"/>
  <c r="D33" i="8"/>
  <c r="D34" i="8"/>
  <c r="D35" i="8"/>
  <c r="D36" i="8"/>
  <c r="D38" i="8"/>
  <c r="D39" i="8"/>
  <c r="D40" i="8"/>
  <c r="D42" i="8"/>
  <c r="D45" i="8"/>
  <c r="D46" i="8"/>
  <c r="D47" i="8"/>
  <c r="D48" i="8"/>
  <c r="D49" i="8"/>
  <c r="D51" i="8"/>
  <c r="D53" i="8"/>
  <c r="D55" i="8"/>
  <c r="D56" i="8"/>
  <c r="D57" i="8"/>
  <c r="D58" i="8"/>
  <c r="D60" i="8"/>
  <c r="D61" i="8"/>
  <c r="D62" i="8"/>
  <c r="D63" i="8"/>
  <c r="D64" i="8"/>
  <c r="D66" i="8"/>
  <c r="D68" i="8"/>
  <c r="D70" i="8"/>
  <c r="D71" i="8"/>
  <c r="D72" i="8"/>
  <c r="D73" i="8"/>
  <c r="D75" i="8"/>
  <c r="D77" i="8"/>
  <c r="D79" i="8"/>
  <c r="D81" i="8"/>
  <c r="D82" i="8"/>
  <c r="D83" i="8"/>
  <c r="D85" i="8"/>
  <c r="D87" i="8"/>
  <c r="D4" i="8"/>
  <c r="J51" i="9" l="1"/>
  <c r="J38" i="9"/>
  <c r="F36" i="8"/>
  <c r="K51" i="8"/>
  <c r="L43" i="8"/>
  <c r="G70" i="2"/>
  <c r="G77" i="2" s="1"/>
  <c r="G146" i="2"/>
  <c r="L51" i="8"/>
  <c r="K43" i="8"/>
  <c r="J34" i="9"/>
  <c r="J21" i="9"/>
  <c r="J19" i="9"/>
  <c r="J17" i="9"/>
  <c r="J15" i="9"/>
  <c r="J13" i="9"/>
  <c r="J4" i="9"/>
  <c r="J46" i="9"/>
  <c r="J44" i="9"/>
  <c r="J39" i="9"/>
  <c r="J30" i="9"/>
  <c r="J28" i="9"/>
  <c r="J26" i="9"/>
  <c r="J11" i="9"/>
  <c r="J9" i="9"/>
  <c r="J7" i="9"/>
  <c r="J5" i="9"/>
  <c r="J35" i="9"/>
  <c r="J33" i="9"/>
  <c r="J22" i="9"/>
  <c r="J20" i="9"/>
  <c r="J18" i="9"/>
  <c r="J16" i="9"/>
  <c r="J14" i="9"/>
  <c r="J12" i="9"/>
  <c r="J10" i="9"/>
  <c r="J8" i="9"/>
  <c r="J6" i="9"/>
  <c r="G138" i="2"/>
  <c r="F51" i="7"/>
  <c r="F25" i="7"/>
  <c r="G56" i="7" l="1"/>
  <c r="G25" i="7"/>
  <c r="G101" i="2"/>
  <c r="G12" i="2"/>
  <c r="G59" i="2"/>
  <c r="G53" i="2"/>
  <c r="G11" i="2"/>
  <c r="G15" i="2"/>
  <c r="G57" i="2"/>
  <c r="G55" i="2"/>
  <c r="G58" i="2"/>
  <c r="G52" i="2"/>
  <c r="G54" i="2"/>
  <c r="G89" i="2"/>
  <c r="G61" i="2" s="1"/>
  <c r="G56" i="2"/>
  <c r="G91" i="2" l="1"/>
  <c r="G96" i="2" s="1"/>
  <c r="G107" i="2" l="1"/>
  <c r="G111" i="2" s="1"/>
  <c r="G100" i="2" s="1"/>
  <c r="G62" i="2"/>
  <c r="G104" i="2" l="1"/>
  <c r="G125" i="2"/>
  <c r="G126" i="2" s="1"/>
  <c r="G127" i="2" s="1"/>
  <c r="G149" i="2" s="1"/>
  <c r="G148" i="2"/>
  <c r="G150" i="2" l="1"/>
  <c r="G153" i="2" s="1"/>
  <c r="G154" i="2" s="1"/>
  <c r="F81" i="8" l="1"/>
  <c r="F79" i="8"/>
  <c r="F75" i="8"/>
  <c r="F72" i="8"/>
  <c r="F71" i="8"/>
  <c r="F70" i="8"/>
  <c r="F68" i="8"/>
  <c r="F66" i="8"/>
  <c r="F62" i="8"/>
  <c r="F61" i="8"/>
  <c r="F60" i="8"/>
  <c r="F60" i="7"/>
  <c r="F57" i="8" s="1"/>
  <c r="F56" i="8"/>
  <c r="F55" i="8"/>
  <c r="F47" i="8"/>
  <c r="F46" i="8"/>
  <c r="F45" i="8"/>
  <c r="F44" i="8"/>
  <c r="F39" i="8"/>
  <c r="F35" i="8"/>
  <c r="C248" i="6"/>
  <c r="C294" i="6" s="1"/>
  <c r="C233" i="6"/>
  <c r="C231" i="6"/>
  <c r="C229" i="6"/>
  <c r="C222" i="6"/>
  <c r="C220" i="6"/>
  <c r="C211" i="6"/>
  <c r="C203" i="6"/>
  <c r="D178" i="6"/>
  <c r="D176" i="6"/>
  <c r="C274" i="6" s="1"/>
  <c r="C320" i="6" s="1"/>
  <c r="D174" i="6"/>
  <c r="C272" i="6" s="1"/>
  <c r="D173" i="6"/>
  <c r="C271" i="6" s="1"/>
  <c r="C317" i="6" s="1"/>
  <c r="D172" i="6"/>
  <c r="C270" i="6" s="1"/>
  <c r="C316" i="6" s="1"/>
  <c r="D170" i="6"/>
  <c r="C268" i="6" s="1"/>
  <c r="D168" i="6"/>
  <c r="C266" i="6" s="1"/>
  <c r="D166" i="6"/>
  <c r="C264" i="6" s="1"/>
  <c r="D164" i="6"/>
  <c r="C262" i="6" s="1"/>
  <c r="D163" i="6"/>
  <c r="C261" i="6" s="1"/>
  <c r="C307" i="6" s="1"/>
  <c r="D162" i="6"/>
  <c r="C260" i="6" s="1"/>
  <c r="C306" i="6" s="1"/>
  <c r="D161" i="6"/>
  <c r="C259" i="6" s="1"/>
  <c r="C305" i="6" s="1"/>
  <c r="D159" i="6"/>
  <c r="C257" i="6" s="1"/>
  <c r="D157" i="6"/>
  <c r="C255" i="6" s="1"/>
  <c r="D155" i="6"/>
  <c r="C253" i="6" s="1"/>
  <c r="D154" i="6"/>
  <c r="C252" i="6" s="1"/>
  <c r="C298" i="6" s="1"/>
  <c r="D153" i="6"/>
  <c r="C251" i="6" s="1"/>
  <c r="C297" i="6" s="1"/>
  <c r="D152" i="6"/>
  <c r="C250" i="6" s="1"/>
  <c r="C296" i="6" s="1"/>
  <c r="D151" i="6"/>
  <c r="C249" i="6" s="1"/>
  <c r="C295" i="6" s="1"/>
  <c r="D149" i="6"/>
  <c r="C247" i="6" s="1"/>
  <c r="D148" i="6"/>
  <c r="C246" i="6" s="1"/>
  <c r="C292" i="6" s="1"/>
  <c r="D147" i="6"/>
  <c r="C245" i="6" s="1"/>
  <c r="C291" i="6" s="1"/>
  <c r="D146" i="6"/>
  <c r="C244" i="6" s="1"/>
  <c r="C290" i="6" s="1"/>
  <c r="D144" i="6"/>
  <c r="C232" i="6" s="1"/>
  <c r="D142" i="6"/>
  <c r="C230" i="6" s="1"/>
  <c r="D140" i="6"/>
  <c r="C228" i="6" s="1"/>
  <c r="C240" i="6" s="1"/>
  <c r="D139" i="6"/>
  <c r="C227" i="6" s="1"/>
  <c r="D138" i="6"/>
  <c r="C226" i="6" s="1"/>
  <c r="D137" i="6"/>
  <c r="C225" i="6" s="1"/>
  <c r="D136" i="6"/>
  <c r="C224" i="6" s="1"/>
  <c r="D135" i="6"/>
  <c r="C223" i="6" s="1"/>
  <c r="D133" i="6"/>
  <c r="C221" i="6" s="1"/>
  <c r="C239" i="6" s="1"/>
  <c r="D131" i="6"/>
  <c r="C219" i="6" s="1"/>
  <c r="C238" i="6" s="1"/>
  <c r="D130" i="6"/>
  <c r="C218" i="6" s="1"/>
  <c r="D129" i="6"/>
  <c r="C217" i="6" s="1"/>
  <c r="D127" i="6"/>
  <c r="C215" i="6" s="1"/>
  <c r="C237" i="6" s="1"/>
  <c r="D126" i="6"/>
  <c r="C214" i="6" s="1"/>
  <c r="D125" i="6"/>
  <c r="C213" i="6" s="1"/>
  <c r="D124" i="6"/>
  <c r="C212" i="6" s="1"/>
  <c r="D122" i="6"/>
  <c r="C210" i="6" s="1"/>
  <c r="C236" i="6" s="1"/>
  <c r="D121" i="6"/>
  <c r="C209" i="6" s="1"/>
  <c r="D120" i="6"/>
  <c r="C208" i="6" s="1"/>
  <c r="D119" i="6"/>
  <c r="C207" i="6" s="1"/>
  <c r="D118" i="6"/>
  <c r="C206" i="6" s="1"/>
  <c r="D117" i="6"/>
  <c r="C205" i="6" s="1"/>
  <c r="D116" i="6"/>
  <c r="C204" i="6" s="1"/>
  <c r="D114" i="6"/>
  <c r="C202" i="6" s="1"/>
  <c r="D113" i="6"/>
  <c r="C201" i="6" s="1"/>
  <c r="D112" i="6"/>
  <c r="C200" i="6" s="1"/>
  <c r="D111" i="6"/>
  <c r="C199" i="6" s="1"/>
  <c r="D110" i="6"/>
  <c r="C198" i="6" s="1"/>
  <c r="D109" i="6"/>
  <c r="C197" i="6" s="1"/>
  <c r="D108" i="6"/>
  <c r="C196" i="6" s="1"/>
  <c r="D107" i="6"/>
  <c r="C195" i="6" s="1"/>
  <c r="D106" i="6"/>
  <c r="C194" i="6" s="1"/>
  <c r="D105" i="6"/>
  <c r="C193" i="6" s="1"/>
  <c r="D104" i="6"/>
  <c r="C192" i="6" s="1"/>
  <c r="D103" i="6"/>
  <c r="C191" i="6" s="1"/>
  <c r="D102" i="6"/>
  <c r="C190" i="6" s="1"/>
  <c r="D101" i="6"/>
  <c r="C189" i="6" s="1"/>
  <c r="D100" i="6"/>
  <c r="C188" i="6" s="1"/>
  <c r="D99" i="6"/>
  <c r="C187" i="6" s="1"/>
  <c r="D98" i="6"/>
  <c r="C186" i="6" s="1"/>
  <c r="D97" i="6"/>
  <c r="C185" i="6" s="1"/>
  <c r="D96" i="6"/>
  <c r="C184" i="6" s="1"/>
  <c r="D95" i="6"/>
  <c r="C183" i="6" s="1"/>
  <c r="D4" i="9" s="1"/>
  <c r="F84" i="6"/>
  <c r="F82" i="6"/>
  <c r="G79" i="8" s="1"/>
  <c r="F80" i="6"/>
  <c r="H80" i="6" s="1"/>
  <c r="F78" i="6"/>
  <c r="I166" i="6" s="1"/>
  <c r="F74" i="6"/>
  <c r="G71" i="8" s="1"/>
  <c r="F73" i="6"/>
  <c r="I161" i="6" s="1"/>
  <c r="F71" i="6"/>
  <c r="I159" i="6" s="1"/>
  <c r="F69" i="6"/>
  <c r="X67" i="6"/>
  <c r="W67" i="6"/>
  <c r="V67" i="6"/>
  <c r="U67" i="6"/>
  <c r="S67" i="6"/>
  <c r="R67" i="6"/>
  <c r="Q67" i="6"/>
  <c r="P67" i="6"/>
  <c r="O67" i="6"/>
  <c r="N67" i="6"/>
  <c r="M67" i="6"/>
  <c r="L67" i="6"/>
  <c r="K67" i="6"/>
  <c r="J67" i="6"/>
  <c r="I67" i="6"/>
  <c r="T67" i="6"/>
  <c r="F65" i="6"/>
  <c r="F64" i="6"/>
  <c r="F63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F60" i="6"/>
  <c r="F58" i="6"/>
  <c r="K146" i="6" s="1"/>
  <c r="X52" i="6"/>
  <c r="W52" i="6"/>
  <c r="V52" i="6"/>
  <c r="S52" i="6"/>
  <c r="R52" i="6"/>
  <c r="Q52" i="6"/>
  <c r="F48" i="9"/>
  <c r="O52" i="6"/>
  <c r="N52" i="6"/>
  <c r="L52" i="6"/>
  <c r="K52" i="6"/>
  <c r="J52" i="6"/>
  <c r="F50" i="6"/>
  <c r="G47" i="8" s="1"/>
  <c r="F49" i="6"/>
  <c r="U137" i="6" s="1"/>
  <c r="F48" i="6"/>
  <c r="F47" i="6"/>
  <c r="O135" i="6" s="1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F42" i="6"/>
  <c r="G39" i="8" s="1"/>
  <c r="F41" i="6"/>
  <c r="W45" i="6"/>
  <c r="F36" i="9"/>
  <c r="F37" i="6"/>
  <c r="F36" i="6"/>
  <c r="F35" i="6"/>
  <c r="G33" i="8" s="1"/>
  <c r="X33" i="6"/>
  <c r="W33" i="6"/>
  <c r="V33" i="6"/>
  <c r="U33" i="6"/>
  <c r="T33" i="6"/>
  <c r="S33" i="6"/>
  <c r="R33" i="6"/>
  <c r="Q33" i="6"/>
  <c r="P33" i="6"/>
  <c r="F31" i="9" s="1"/>
  <c r="O33" i="6"/>
  <c r="N33" i="6"/>
  <c r="M33" i="6"/>
  <c r="L33" i="6"/>
  <c r="K33" i="6"/>
  <c r="J33" i="6"/>
  <c r="I33" i="6"/>
  <c r="F32" i="6"/>
  <c r="G30" i="8" s="1"/>
  <c r="F31" i="6"/>
  <c r="O120" i="6" s="1"/>
  <c r="F30" i="6"/>
  <c r="G28" i="8" s="1"/>
  <c r="F29" i="6"/>
  <c r="O118" i="6" s="1"/>
  <c r="F28" i="6"/>
  <c r="G26" i="8" s="1"/>
  <c r="F27" i="6"/>
  <c r="X25" i="6"/>
  <c r="W25" i="6"/>
  <c r="V25" i="6"/>
  <c r="U25" i="6"/>
  <c r="T25" i="6"/>
  <c r="S25" i="6"/>
  <c r="R25" i="6"/>
  <c r="Q25" i="6"/>
  <c r="P25" i="6"/>
  <c r="F23" i="9" s="1"/>
  <c r="O25" i="6"/>
  <c r="N25" i="6"/>
  <c r="M25" i="6"/>
  <c r="L25" i="6"/>
  <c r="K25" i="6"/>
  <c r="J25" i="6"/>
  <c r="I25" i="6"/>
  <c r="G22" i="8"/>
  <c r="F23" i="6"/>
  <c r="X112" i="6" s="1"/>
  <c r="F22" i="6"/>
  <c r="G20" i="8" s="1"/>
  <c r="F21" i="6"/>
  <c r="S110" i="6" s="1"/>
  <c r="F20" i="6"/>
  <c r="G18" i="8" s="1"/>
  <c r="F19" i="6"/>
  <c r="P108" i="6" s="1"/>
  <c r="F18" i="6"/>
  <c r="G16" i="8" s="1"/>
  <c r="F17" i="6"/>
  <c r="P106" i="6" s="1"/>
  <c r="F16" i="6"/>
  <c r="G14" i="8" s="1"/>
  <c r="F15" i="6"/>
  <c r="G13" i="8" s="1"/>
  <c r="F14" i="6"/>
  <c r="G12" i="8" s="1"/>
  <c r="F13" i="6"/>
  <c r="S102" i="6" s="1"/>
  <c r="F12" i="6"/>
  <c r="G10" i="8" s="1"/>
  <c r="F11" i="6"/>
  <c r="P100" i="6" s="1"/>
  <c r="F10" i="6"/>
  <c r="G8" i="8" s="1"/>
  <c r="F9" i="6"/>
  <c r="P98" i="6" s="1"/>
  <c r="F8" i="6"/>
  <c r="G6" i="8" s="1"/>
  <c r="F7" i="6"/>
  <c r="X96" i="6" s="1"/>
  <c r="F6" i="6"/>
  <c r="G4" i="8" s="1"/>
  <c r="C278" i="6" l="1"/>
  <c r="C324" i="6" s="1"/>
  <c r="C293" i="6"/>
  <c r="C279" i="6"/>
  <c r="C325" i="6" s="1"/>
  <c r="C299" i="6"/>
  <c r="C284" i="6"/>
  <c r="C330" i="6" s="1"/>
  <c r="C312" i="6"/>
  <c r="C286" i="6"/>
  <c r="C332" i="6" s="1"/>
  <c r="C318" i="6"/>
  <c r="C283" i="6"/>
  <c r="C329" i="6" s="1"/>
  <c r="C310" i="6"/>
  <c r="G57" i="8"/>
  <c r="I148" i="6"/>
  <c r="M148" i="6"/>
  <c r="Q148" i="6"/>
  <c r="U148" i="6"/>
  <c r="K148" i="6"/>
  <c r="O148" i="6"/>
  <c r="S148" i="6"/>
  <c r="W148" i="6"/>
  <c r="J148" i="6"/>
  <c r="N148" i="6"/>
  <c r="R148" i="6"/>
  <c r="V148" i="6"/>
  <c r="F148" i="6"/>
  <c r="L148" i="6"/>
  <c r="P148" i="6"/>
  <c r="T148" i="6"/>
  <c r="X148" i="6"/>
  <c r="I157" i="6"/>
  <c r="L157" i="6"/>
  <c r="P157" i="6"/>
  <c r="T157" i="6"/>
  <c r="X157" i="6"/>
  <c r="N157" i="6"/>
  <c r="R157" i="6"/>
  <c r="F157" i="6"/>
  <c r="M157" i="6"/>
  <c r="Q157" i="6"/>
  <c r="U157" i="6"/>
  <c r="J157" i="6"/>
  <c r="V157" i="6"/>
  <c r="K157" i="6"/>
  <c r="O157" i="6"/>
  <c r="S157" i="6"/>
  <c r="W157" i="6"/>
  <c r="C280" i="6"/>
  <c r="C326" i="6" s="1"/>
  <c r="C301" i="6"/>
  <c r="C285" i="6"/>
  <c r="C331" i="6" s="1"/>
  <c r="C314" i="6"/>
  <c r="F40" i="9"/>
  <c r="W129" i="6"/>
  <c r="F129" i="6"/>
  <c r="C281" i="6"/>
  <c r="C327" i="6" s="1"/>
  <c r="C303" i="6"/>
  <c r="C282" i="6"/>
  <c r="C328" i="6" s="1"/>
  <c r="C308" i="6"/>
  <c r="K8" i="8"/>
  <c r="K16" i="8"/>
  <c r="K30" i="8"/>
  <c r="K33" i="8"/>
  <c r="K26" i="8"/>
  <c r="K14" i="8"/>
  <c r="K22" i="8"/>
  <c r="K28" i="8"/>
  <c r="K4" i="8"/>
  <c r="K12" i="8"/>
  <c r="K20" i="8"/>
  <c r="K13" i="8"/>
  <c r="K6" i="8"/>
  <c r="K10" i="8"/>
  <c r="K18" i="8"/>
  <c r="K39" i="8"/>
  <c r="K47" i="8"/>
  <c r="W86" i="6"/>
  <c r="V86" i="6"/>
  <c r="S86" i="6"/>
  <c r="R86" i="6"/>
  <c r="F82" i="9"/>
  <c r="N86" i="6"/>
  <c r="K86" i="6"/>
  <c r="J86" i="6"/>
  <c r="X76" i="6"/>
  <c r="V76" i="6"/>
  <c r="U76" i="6"/>
  <c r="R76" i="6"/>
  <c r="Q76" i="6"/>
  <c r="F72" i="9"/>
  <c r="J76" i="6"/>
  <c r="I76" i="6"/>
  <c r="I88" i="6" s="1"/>
  <c r="F64" i="9"/>
  <c r="O151" i="6"/>
  <c r="J151" i="6"/>
  <c r="F58" i="9"/>
  <c r="L129" i="6"/>
  <c r="O168" i="6"/>
  <c r="H82" i="6"/>
  <c r="G35" i="8"/>
  <c r="F39" i="6"/>
  <c r="G25" i="8"/>
  <c r="F33" i="6"/>
  <c r="G31" i="8" s="1"/>
  <c r="H78" i="6"/>
  <c r="K108" i="6"/>
  <c r="V130" i="6"/>
  <c r="G66" i="8"/>
  <c r="Q159" i="6"/>
  <c r="G68" i="8"/>
  <c r="V172" i="6"/>
  <c r="G81" i="8"/>
  <c r="L126" i="6"/>
  <c r="W168" i="6"/>
  <c r="J172" i="6"/>
  <c r="U45" i="6"/>
  <c r="O45" i="6"/>
  <c r="K130" i="6"/>
  <c r="P137" i="6"/>
  <c r="U151" i="6"/>
  <c r="R172" i="6"/>
  <c r="S168" i="6"/>
  <c r="G77" i="8"/>
  <c r="O161" i="6"/>
  <c r="G70" i="8"/>
  <c r="P76" i="6"/>
  <c r="Q166" i="6"/>
  <c r="G75" i="8"/>
  <c r="F85" i="6"/>
  <c r="G82" i="8" s="1"/>
  <c r="O130" i="6"/>
  <c r="T170" i="6"/>
  <c r="M104" i="6"/>
  <c r="F104" i="6"/>
  <c r="F112" i="6"/>
  <c r="M112" i="6"/>
  <c r="F96" i="6"/>
  <c r="K100" i="6"/>
  <c r="M96" i="6"/>
  <c r="V153" i="6"/>
  <c r="G62" i="8"/>
  <c r="K153" i="6"/>
  <c r="Q152" i="6"/>
  <c r="G61" i="8"/>
  <c r="S153" i="6"/>
  <c r="R151" i="6"/>
  <c r="G60" i="8"/>
  <c r="I151" i="6"/>
  <c r="W151" i="6"/>
  <c r="N151" i="6"/>
  <c r="U147" i="6"/>
  <c r="G56" i="8"/>
  <c r="U146" i="6"/>
  <c r="G55" i="8"/>
  <c r="Q146" i="6"/>
  <c r="R146" i="6"/>
  <c r="J146" i="6"/>
  <c r="W146" i="6"/>
  <c r="T135" i="6"/>
  <c r="I135" i="6"/>
  <c r="K137" i="6"/>
  <c r="S138" i="6"/>
  <c r="J138" i="6"/>
  <c r="U138" i="6"/>
  <c r="R136" i="6"/>
  <c r="G45" i="8"/>
  <c r="N138" i="6"/>
  <c r="I138" i="6"/>
  <c r="X137" i="6"/>
  <c r="G46" i="8"/>
  <c r="O138" i="6"/>
  <c r="K135" i="6"/>
  <c r="W135" i="6"/>
  <c r="G44" i="8"/>
  <c r="U135" i="6"/>
  <c r="P135" i="6"/>
  <c r="J45" i="6"/>
  <c r="N45" i="6"/>
  <c r="R45" i="6"/>
  <c r="V45" i="6"/>
  <c r="Q130" i="6"/>
  <c r="K45" i="6"/>
  <c r="S45" i="6"/>
  <c r="J130" i="6"/>
  <c r="U130" i="6"/>
  <c r="T129" i="6"/>
  <c r="G38" i="8"/>
  <c r="Q129" i="6"/>
  <c r="W126" i="6"/>
  <c r="U125" i="6"/>
  <c r="G34" i="8"/>
  <c r="R125" i="6"/>
  <c r="W125" i="6"/>
  <c r="P126" i="6"/>
  <c r="Q126" i="6"/>
  <c r="M125" i="6"/>
  <c r="K126" i="6"/>
  <c r="U126" i="6"/>
  <c r="W116" i="6"/>
  <c r="V118" i="6"/>
  <c r="G27" i="8"/>
  <c r="Q117" i="6"/>
  <c r="I118" i="6"/>
  <c r="S118" i="6"/>
  <c r="J120" i="6"/>
  <c r="F121" i="6"/>
  <c r="S121" i="6"/>
  <c r="O121" i="6"/>
  <c r="K117" i="6"/>
  <c r="U117" i="6"/>
  <c r="J118" i="6"/>
  <c r="U118" i="6"/>
  <c r="I121" i="6"/>
  <c r="T121" i="6"/>
  <c r="P117" i="6"/>
  <c r="W120" i="6"/>
  <c r="G29" i="8"/>
  <c r="L117" i="6"/>
  <c r="W117" i="6"/>
  <c r="N118" i="6"/>
  <c r="U120" i="6"/>
  <c r="M121" i="6"/>
  <c r="X121" i="6"/>
  <c r="M116" i="6"/>
  <c r="R116" i="6"/>
  <c r="X104" i="6"/>
  <c r="F102" i="6"/>
  <c r="F110" i="6"/>
  <c r="Q97" i="6"/>
  <c r="O101" i="6"/>
  <c r="Q105" i="6"/>
  <c r="O109" i="6"/>
  <c r="Q113" i="6"/>
  <c r="W98" i="6"/>
  <c r="G7" i="8"/>
  <c r="T102" i="6"/>
  <c r="G11" i="8"/>
  <c r="W106" i="6"/>
  <c r="G15" i="8"/>
  <c r="T110" i="6"/>
  <c r="G19" i="8"/>
  <c r="R97" i="6"/>
  <c r="I98" i="6"/>
  <c r="T98" i="6"/>
  <c r="I101" i="6"/>
  <c r="S101" i="6"/>
  <c r="L102" i="6"/>
  <c r="W102" i="6"/>
  <c r="R105" i="6"/>
  <c r="I106" i="6"/>
  <c r="T106" i="6"/>
  <c r="I109" i="6"/>
  <c r="S109" i="6"/>
  <c r="L110" i="6"/>
  <c r="W110" i="6"/>
  <c r="R113" i="6"/>
  <c r="K97" i="6"/>
  <c r="V97" i="6"/>
  <c r="K98" i="6"/>
  <c r="U98" i="6"/>
  <c r="J101" i="6"/>
  <c r="U101" i="6"/>
  <c r="M102" i="6"/>
  <c r="X102" i="6"/>
  <c r="K105" i="6"/>
  <c r="V105" i="6"/>
  <c r="K106" i="6"/>
  <c r="U106" i="6"/>
  <c r="J109" i="6"/>
  <c r="U109" i="6"/>
  <c r="M110" i="6"/>
  <c r="X110" i="6"/>
  <c r="K113" i="6"/>
  <c r="V113" i="6"/>
  <c r="U96" i="6"/>
  <c r="G5" i="8"/>
  <c r="X100" i="6"/>
  <c r="G9" i="8"/>
  <c r="X108" i="6"/>
  <c r="G17" i="8"/>
  <c r="U112" i="6"/>
  <c r="G21" i="8"/>
  <c r="S96" i="6"/>
  <c r="M97" i="6"/>
  <c r="W97" i="6"/>
  <c r="O98" i="6"/>
  <c r="U100" i="6"/>
  <c r="N101" i="6"/>
  <c r="Q102" i="6"/>
  <c r="S104" i="6"/>
  <c r="M105" i="6"/>
  <c r="W105" i="6"/>
  <c r="O106" i="6"/>
  <c r="U108" i="6"/>
  <c r="N109" i="6"/>
  <c r="Q110" i="6"/>
  <c r="S112" i="6"/>
  <c r="M113" i="6"/>
  <c r="W113" i="6"/>
  <c r="F43" i="7"/>
  <c r="F38" i="8"/>
  <c r="F77" i="8"/>
  <c r="F33" i="7"/>
  <c r="F31" i="8" s="1"/>
  <c r="F48" i="8"/>
  <c r="F86" i="7"/>
  <c r="H86" i="7" s="1"/>
  <c r="F61" i="7"/>
  <c r="F76" i="7"/>
  <c r="H76" i="7" s="1"/>
  <c r="G76" i="7" s="1"/>
  <c r="X99" i="6"/>
  <c r="T99" i="6"/>
  <c r="P99" i="6"/>
  <c r="L99" i="6"/>
  <c r="F99" i="6"/>
  <c r="V99" i="6"/>
  <c r="Q99" i="6"/>
  <c r="K99" i="6"/>
  <c r="S99" i="6"/>
  <c r="N99" i="6"/>
  <c r="I99" i="6"/>
  <c r="W99" i="6"/>
  <c r="U99" i="6"/>
  <c r="O99" i="6"/>
  <c r="J99" i="6"/>
  <c r="R99" i="6"/>
  <c r="M99" i="6"/>
  <c r="L45" i="6"/>
  <c r="X45" i="6"/>
  <c r="V124" i="6"/>
  <c r="R124" i="6"/>
  <c r="N124" i="6"/>
  <c r="J124" i="6"/>
  <c r="X124" i="6"/>
  <c r="S124" i="6"/>
  <c r="M124" i="6"/>
  <c r="F124" i="6"/>
  <c r="U124" i="6"/>
  <c r="P124" i="6"/>
  <c r="K124" i="6"/>
  <c r="T124" i="6"/>
  <c r="I124" i="6"/>
  <c r="W124" i="6"/>
  <c r="Q124" i="6"/>
  <c r="L124" i="6"/>
  <c r="O124" i="6"/>
  <c r="X95" i="6"/>
  <c r="T95" i="6"/>
  <c r="P95" i="6"/>
  <c r="L95" i="6"/>
  <c r="F95" i="6"/>
  <c r="S95" i="6"/>
  <c r="N95" i="6"/>
  <c r="I95" i="6"/>
  <c r="F25" i="6"/>
  <c r="V95" i="6"/>
  <c r="Q95" i="6"/>
  <c r="K95" i="6"/>
  <c r="U95" i="6"/>
  <c r="O95" i="6"/>
  <c r="J95" i="6"/>
  <c r="W95" i="6"/>
  <c r="R95" i="6"/>
  <c r="M95" i="6"/>
  <c r="X103" i="6"/>
  <c r="T103" i="6"/>
  <c r="P103" i="6"/>
  <c r="L103" i="6"/>
  <c r="F103" i="6"/>
  <c r="S103" i="6"/>
  <c r="N103" i="6"/>
  <c r="I103" i="6"/>
  <c r="V103" i="6"/>
  <c r="Q103" i="6"/>
  <c r="K103" i="6"/>
  <c r="O103" i="6"/>
  <c r="W103" i="6"/>
  <c r="R103" i="6"/>
  <c r="M103" i="6"/>
  <c r="J103" i="6"/>
  <c r="U103" i="6"/>
  <c r="X107" i="6"/>
  <c r="T107" i="6"/>
  <c r="P107" i="6"/>
  <c r="L107" i="6"/>
  <c r="F107" i="6"/>
  <c r="V107" i="6"/>
  <c r="Q107" i="6"/>
  <c r="K107" i="6"/>
  <c r="S107" i="6"/>
  <c r="N107" i="6"/>
  <c r="I107" i="6"/>
  <c r="W107" i="6"/>
  <c r="U107" i="6"/>
  <c r="O107" i="6"/>
  <c r="J107" i="6"/>
  <c r="R107" i="6"/>
  <c r="M107" i="6"/>
  <c r="P45" i="6"/>
  <c r="F42" i="9" s="1"/>
  <c r="T45" i="6"/>
  <c r="L56" i="6"/>
  <c r="X56" i="6"/>
  <c r="V119" i="6"/>
  <c r="R119" i="6"/>
  <c r="N119" i="6"/>
  <c r="J119" i="6"/>
  <c r="U119" i="6"/>
  <c r="P119" i="6"/>
  <c r="K119" i="6"/>
  <c r="X119" i="6"/>
  <c r="S119" i="6"/>
  <c r="M119" i="6"/>
  <c r="F119" i="6"/>
  <c r="Q119" i="6"/>
  <c r="T119" i="6"/>
  <c r="O119" i="6"/>
  <c r="I119" i="6"/>
  <c r="W119" i="6"/>
  <c r="L119" i="6"/>
  <c r="M136" i="6"/>
  <c r="K152" i="6"/>
  <c r="X136" i="6"/>
  <c r="T136" i="6"/>
  <c r="P136" i="6"/>
  <c r="L136" i="6"/>
  <c r="F136" i="6"/>
  <c r="J56" i="6"/>
  <c r="R56" i="6"/>
  <c r="V56" i="6"/>
  <c r="V152" i="6"/>
  <c r="R152" i="6"/>
  <c r="N152" i="6"/>
  <c r="J152" i="6"/>
  <c r="T152" i="6"/>
  <c r="O152" i="6"/>
  <c r="I152" i="6"/>
  <c r="X162" i="6"/>
  <c r="T162" i="6"/>
  <c r="P162" i="6"/>
  <c r="L162" i="6"/>
  <c r="F162" i="6"/>
  <c r="V162" i="6"/>
  <c r="Q162" i="6"/>
  <c r="K162" i="6"/>
  <c r="U162" i="6"/>
  <c r="O162" i="6"/>
  <c r="J162" i="6"/>
  <c r="S162" i="6"/>
  <c r="N162" i="6"/>
  <c r="I162" i="6"/>
  <c r="K76" i="6"/>
  <c r="S76" i="6"/>
  <c r="M86" i="6"/>
  <c r="K147" i="6"/>
  <c r="S147" i="6"/>
  <c r="X152" i="6"/>
  <c r="V104" i="6"/>
  <c r="R104" i="6"/>
  <c r="N104" i="6"/>
  <c r="J104" i="6"/>
  <c r="X116" i="6"/>
  <c r="T116" i="6"/>
  <c r="P116" i="6"/>
  <c r="L116" i="6"/>
  <c r="F116" i="6"/>
  <c r="I136" i="6"/>
  <c r="N136" i="6"/>
  <c r="S136" i="6"/>
  <c r="L137" i="6"/>
  <c r="W137" i="6"/>
  <c r="M147" i="6"/>
  <c r="L152" i="6"/>
  <c r="S152" i="6"/>
  <c r="N153" i="6"/>
  <c r="U153" i="6"/>
  <c r="K159" i="6"/>
  <c r="M162" i="6"/>
  <c r="X97" i="6"/>
  <c r="T97" i="6"/>
  <c r="P97" i="6"/>
  <c r="L97" i="6"/>
  <c r="F97" i="6"/>
  <c r="X101" i="6"/>
  <c r="T101" i="6"/>
  <c r="P101" i="6"/>
  <c r="L101" i="6"/>
  <c r="F101" i="6"/>
  <c r="X105" i="6"/>
  <c r="T105" i="6"/>
  <c r="P105" i="6"/>
  <c r="L105" i="6"/>
  <c r="F105" i="6"/>
  <c r="X109" i="6"/>
  <c r="T109" i="6"/>
  <c r="P109" i="6"/>
  <c r="L109" i="6"/>
  <c r="F109" i="6"/>
  <c r="X113" i="6"/>
  <c r="T113" i="6"/>
  <c r="P113" i="6"/>
  <c r="L113" i="6"/>
  <c r="F113" i="6"/>
  <c r="V117" i="6"/>
  <c r="R117" i="6"/>
  <c r="N117" i="6"/>
  <c r="J117" i="6"/>
  <c r="V121" i="6"/>
  <c r="R121" i="6"/>
  <c r="N121" i="6"/>
  <c r="J121" i="6"/>
  <c r="V126" i="6"/>
  <c r="R126" i="6"/>
  <c r="N126" i="6"/>
  <c r="J126" i="6"/>
  <c r="X130" i="6"/>
  <c r="T130" i="6"/>
  <c r="P130" i="6"/>
  <c r="L130" i="6"/>
  <c r="F130" i="6"/>
  <c r="X138" i="6"/>
  <c r="T138" i="6"/>
  <c r="P138" i="6"/>
  <c r="L138" i="6"/>
  <c r="F138" i="6"/>
  <c r="P52" i="6"/>
  <c r="F49" i="9" s="1"/>
  <c r="T52" i="6"/>
  <c r="F61" i="6"/>
  <c r="F66" i="6"/>
  <c r="G63" i="8" s="1"/>
  <c r="H71" i="6"/>
  <c r="M76" i="6"/>
  <c r="O86" i="6"/>
  <c r="U86" i="6"/>
  <c r="K96" i="6"/>
  <c r="P96" i="6"/>
  <c r="I97" i="6"/>
  <c r="N97" i="6"/>
  <c r="S97" i="6"/>
  <c r="L98" i="6"/>
  <c r="Q98" i="6"/>
  <c r="F100" i="6"/>
  <c r="M100" i="6"/>
  <c r="S100" i="6"/>
  <c r="K101" i="6"/>
  <c r="Q101" i="6"/>
  <c r="V101" i="6"/>
  <c r="I102" i="6"/>
  <c r="O102" i="6"/>
  <c r="K104" i="6"/>
  <c r="P104" i="6"/>
  <c r="U104" i="6"/>
  <c r="I105" i="6"/>
  <c r="N105" i="6"/>
  <c r="S105" i="6"/>
  <c r="L106" i="6"/>
  <c r="Q106" i="6"/>
  <c r="F108" i="6"/>
  <c r="M108" i="6"/>
  <c r="S108" i="6"/>
  <c r="K109" i="6"/>
  <c r="Q109" i="6"/>
  <c r="V109" i="6"/>
  <c r="I110" i="6"/>
  <c r="O110" i="6"/>
  <c r="K112" i="6"/>
  <c r="P112" i="6"/>
  <c r="I113" i="6"/>
  <c r="N113" i="6"/>
  <c r="S113" i="6"/>
  <c r="J116" i="6"/>
  <c r="O116" i="6"/>
  <c r="U116" i="6"/>
  <c r="F117" i="6"/>
  <c r="M117" i="6"/>
  <c r="S117" i="6"/>
  <c r="X117" i="6"/>
  <c r="K118" i="6"/>
  <c r="Q118" i="6"/>
  <c r="M120" i="6"/>
  <c r="R120" i="6"/>
  <c r="K121" i="6"/>
  <c r="P121" i="6"/>
  <c r="U121" i="6"/>
  <c r="J125" i="6"/>
  <c r="O125" i="6"/>
  <c r="F126" i="6"/>
  <c r="M126" i="6"/>
  <c r="S126" i="6"/>
  <c r="X126" i="6"/>
  <c r="I129" i="6"/>
  <c r="O129" i="6"/>
  <c r="M130" i="6"/>
  <c r="R130" i="6"/>
  <c r="W130" i="6"/>
  <c r="L135" i="6"/>
  <c r="Q135" i="6"/>
  <c r="J136" i="6"/>
  <c r="O136" i="6"/>
  <c r="U136" i="6"/>
  <c r="F137" i="6"/>
  <c r="M137" i="6"/>
  <c r="S137" i="6"/>
  <c r="K138" i="6"/>
  <c r="Q138" i="6"/>
  <c r="V138" i="6"/>
  <c r="M146" i="6"/>
  <c r="F147" i="6"/>
  <c r="O147" i="6"/>
  <c r="M152" i="6"/>
  <c r="U152" i="6"/>
  <c r="I153" i="6"/>
  <c r="O153" i="6"/>
  <c r="R162" i="6"/>
  <c r="N56" i="6"/>
  <c r="N253" i="6" s="1"/>
  <c r="N299" i="6" s="1"/>
  <c r="V147" i="6"/>
  <c r="R147" i="6"/>
  <c r="N147" i="6"/>
  <c r="J147" i="6"/>
  <c r="W147" i="6"/>
  <c r="Q147" i="6"/>
  <c r="L147" i="6"/>
  <c r="X159" i="6"/>
  <c r="T159" i="6"/>
  <c r="P159" i="6"/>
  <c r="L159" i="6"/>
  <c r="F159" i="6"/>
  <c r="U159" i="6"/>
  <c r="O159" i="6"/>
  <c r="J159" i="6"/>
  <c r="S159" i="6"/>
  <c r="N159" i="6"/>
  <c r="W159" i="6"/>
  <c r="R159" i="6"/>
  <c r="M159" i="6"/>
  <c r="O76" i="6"/>
  <c r="W76" i="6"/>
  <c r="W136" i="6"/>
  <c r="V96" i="6"/>
  <c r="R96" i="6"/>
  <c r="N96" i="6"/>
  <c r="J96" i="6"/>
  <c r="V100" i="6"/>
  <c r="R100" i="6"/>
  <c r="N100" i="6"/>
  <c r="J100" i="6"/>
  <c r="V108" i="6"/>
  <c r="R108" i="6"/>
  <c r="N108" i="6"/>
  <c r="J108" i="6"/>
  <c r="V112" i="6"/>
  <c r="R112" i="6"/>
  <c r="N112" i="6"/>
  <c r="J112" i="6"/>
  <c r="X120" i="6"/>
  <c r="T120" i="6"/>
  <c r="P120" i="6"/>
  <c r="L120" i="6"/>
  <c r="F120" i="6"/>
  <c r="X125" i="6"/>
  <c r="T125" i="6"/>
  <c r="P125" i="6"/>
  <c r="L125" i="6"/>
  <c r="F125" i="6"/>
  <c r="V129" i="6"/>
  <c r="R129" i="6"/>
  <c r="N129" i="6"/>
  <c r="J129" i="6"/>
  <c r="V137" i="6"/>
  <c r="R137" i="6"/>
  <c r="N137" i="6"/>
  <c r="J137" i="6"/>
  <c r="K56" i="6"/>
  <c r="O56" i="6"/>
  <c r="O247" i="6" s="1"/>
  <c r="O293" i="6" s="1"/>
  <c r="S56" i="6"/>
  <c r="S253" i="6" s="1"/>
  <c r="S299" i="6" s="1"/>
  <c r="W56" i="6"/>
  <c r="W247" i="6" s="1"/>
  <c r="W293" i="6" s="1"/>
  <c r="X153" i="6"/>
  <c r="T153" i="6"/>
  <c r="P153" i="6"/>
  <c r="L153" i="6"/>
  <c r="F153" i="6"/>
  <c r="W153" i="6"/>
  <c r="R153" i="6"/>
  <c r="M153" i="6"/>
  <c r="F75" i="6"/>
  <c r="G72" i="8" s="1"/>
  <c r="L76" i="6"/>
  <c r="I86" i="6"/>
  <c r="I96" i="6"/>
  <c r="O96" i="6"/>
  <c r="T96" i="6"/>
  <c r="L100" i="6"/>
  <c r="Q100" i="6"/>
  <c r="W100" i="6"/>
  <c r="I104" i="6"/>
  <c r="O104" i="6"/>
  <c r="T104" i="6"/>
  <c r="L108" i="6"/>
  <c r="Q108" i="6"/>
  <c r="W108" i="6"/>
  <c r="I112" i="6"/>
  <c r="O112" i="6"/>
  <c r="T112" i="6"/>
  <c r="I116" i="6"/>
  <c r="N116" i="6"/>
  <c r="S116" i="6"/>
  <c r="K120" i="6"/>
  <c r="Q120" i="6"/>
  <c r="V120" i="6"/>
  <c r="I125" i="6"/>
  <c r="N125" i="6"/>
  <c r="S125" i="6"/>
  <c r="M129" i="6"/>
  <c r="S129" i="6"/>
  <c r="X129" i="6"/>
  <c r="Q137" i="6"/>
  <c r="T147" i="6"/>
  <c r="V98" i="6"/>
  <c r="R98" i="6"/>
  <c r="N98" i="6"/>
  <c r="J98" i="6"/>
  <c r="V102" i="6"/>
  <c r="R102" i="6"/>
  <c r="N102" i="6"/>
  <c r="J102" i="6"/>
  <c r="V106" i="6"/>
  <c r="R106" i="6"/>
  <c r="N106" i="6"/>
  <c r="J106" i="6"/>
  <c r="V110" i="6"/>
  <c r="R110" i="6"/>
  <c r="N110" i="6"/>
  <c r="J110" i="6"/>
  <c r="X118" i="6"/>
  <c r="T118" i="6"/>
  <c r="P118" i="6"/>
  <c r="L118" i="6"/>
  <c r="F118" i="6"/>
  <c r="F43" i="6"/>
  <c r="G40" i="8" s="1"/>
  <c r="I45" i="6"/>
  <c r="M45" i="6"/>
  <c r="Q45" i="6"/>
  <c r="V135" i="6"/>
  <c r="R135" i="6"/>
  <c r="N135" i="6"/>
  <c r="J135" i="6"/>
  <c r="F51" i="6"/>
  <c r="I52" i="6"/>
  <c r="I56" i="6" s="1"/>
  <c r="M52" i="6"/>
  <c r="U52" i="6"/>
  <c r="U56" i="6" s="1"/>
  <c r="Q56" i="6"/>
  <c r="X146" i="6"/>
  <c r="T146" i="6"/>
  <c r="P146" i="6"/>
  <c r="L146" i="6"/>
  <c r="F146" i="6"/>
  <c r="S146" i="6"/>
  <c r="N146" i="6"/>
  <c r="I146" i="6"/>
  <c r="M88" i="6"/>
  <c r="X151" i="6"/>
  <c r="T151" i="6"/>
  <c r="P151" i="6"/>
  <c r="L151" i="6"/>
  <c r="F151" i="6"/>
  <c r="V151" i="6"/>
  <c r="Q151" i="6"/>
  <c r="K151" i="6"/>
  <c r="V161" i="6"/>
  <c r="R161" i="6"/>
  <c r="N161" i="6"/>
  <c r="J161" i="6"/>
  <c r="X161" i="6"/>
  <c r="S161" i="6"/>
  <c r="M161" i="6"/>
  <c r="F161" i="6"/>
  <c r="W161" i="6"/>
  <c r="Q161" i="6"/>
  <c r="L161" i="6"/>
  <c r="U161" i="6"/>
  <c r="P161" i="6"/>
  <c r="K161" i="6"/>
  <c r="N76" i="6"/>
  <c r="T76" i="6"/>
  <c r="W166" i="6"/>
  <c r="S166" i="6"/>
  <c r="O166" i="6"/>
  <c r="K166" i="6"/>
  <c r="V166" i="6"/>
  <c r="R166" i="6"/>
  <c r="N166" i="6"/>
  <c r="J166" i="6"/>
  <c r="X166" i="6"/>
  <c r="P166" i="6"/>
  <c r="F166" i="6"/>
  <c r="U166" i="6"/>
  <c r="M166" i="6"/>
  <c r="T166" i="6"/>
  <c r="L166" i="6"/>
  <c r="W170" i="6"/>
  <c r="S170" i="6"/>
  <c r="O170" i="6"/>
  <c r="K170" i="6"/>
  <c r="V170" i="6"/>
  <c r="R170" i="6"/>
  <c r="N170" i="6"/>
  <c r="J170" i="6"/>
  <c r="Q170" i="6"/>
  <c r="I170" i="6"/>
  <c r="X170" i="6"/>
  <c r="P170" i="6"/>
  <c r="F170" i="6"/>
  <c r="U170" i="6"/>
  <c r="M170" i="6"/>
  <c r="L86" i="6"/>
  <c r="P86" i="6"/>
  <c r="T86" i="6"/>
  <c r="X86" i="6"/>
  <c r="Q86" i="6"/>
  <c r="L96" i="6"/>
  <c r="Q96" i="6"/>
  <c r="W96" i="6"/>
  <c r="J97" i="6"/>
  <c r="O97" i="6"/>
  <c r="U97" i="6"/>
  <c r="F98" i="6"/>
  <c r="M98" i="6"/>
  <c r="S98" i="6"/>
  <c r="X98" i="6"/>
  <c r="I100" i="6"/>
  <c r="O100" i="6"/>
  <c r="T100" i="6"/>
  <c r="M101" i="6"/>
  <c r="R101" i="6"/>
  <c r="W101" i="6"/>
  <c r="K102" i="6"/>
  <c r="P102" i="6"/>
  <c r="U102" i="6"/>
  <c r="L104" i="6"/>
  <c r="Q104" i="6"/>
  <c r="W104" i="6"/>
  <c r="J105" i="6"/>
  <c r="O105" i="6"/>
  <c r="U105" i="6"/>
  <c r="F106" i="6"/>
  <c r="M106" i="6"/>
  <c r="S106" i="6"/>
  <c r="X106" i="6"/>
  <c r="I108" i="6"/>
  <c r="O108" i="6"/>
  <c r="T108" i="6"/>
  <c r="M109" i="6"/>
  <c r="R109" i="6"/>
  <c r="W109" i="6"/>
  <c r="K110" i="6"/>
  <c r="P110" i="6"/>
  <c r="U110" i="6"/>
  <c r="L112" i="6"/>
  <c r="Q112" i="6"/>
  <c r="W112" i="6"/>
  <c r="J113" i="6"/>
  <c r="O113" i="6"/>
  <c r="U113" i="6"/>
  <c r="K116" i="6"/>
  <c r="Q116" i="6"/>
  <c r="V116" i="6"/>
  <c r="I117" i="6"/>
  <c r="O117" i="6"/>
  <c r="T117" i="6"/>
  <c r="M118" i="6"/>
  <c r="R118" i="6"/>
  <c r="W118" i="6"/>
  <c r="I120" i="6"/>
  <c r="N120" i="6"/>
  <c r="S120" i="6"/>
  <c r="L121" i="6"/>
  <c r="Q121" i="6"/>
  <c r="W121" i="6"/>
  <c r="K125" i="6"/>
  <c r="Q125" i="6"/>
  <c r="V125" i="6"/>
  <c r="I126" i="6"/>
  <c r="O126" i="6"/>
  <c r="T126" i="6"/>
  <c r="K129" i="6"/>
  <c r="P129" i="6"/>
  <c r="U129" i="6"/>
  <c r="I130" i="6"/>
  <c r="N130" i="6"/>
  <c r="S130" i="6"/>
  <c r="F135" i="6"/>
  <c r="M135" i="6"/>
  <c r="S135" i="6"/>
  <c r="X135" i="6"/>
  <c r="K136" i="6"/>
  <c r="Q136" i="6"/>
  <c r="V136" i="6"/>
  <c r="I137" i="6"/>
  <c r="O137" i="6"/>
  <c r="T137" i="6"/>
  <c r="M138" i="6"/>
  <c r="R138" i="6"/>
  <c r="W138" i="6"/>
  <c r="O146" i="6"/>
  <c r="V146" i="6"/>
  <c r="I147" i="6"/>
  <c r="P147" i="6"/>
  <c r="X147" i="6"/>
  <c r="M151" i="6"/>
  <c r="S151" i="6"/>
  <c r="F152" i="6"/>
  <c r="P152" i="6"/>
  <c r="W152" i="6"/>
  <c r="J153" i="6"/>
  <c r="Q153" i="6"/>
  <c r="V159" i="6"/>
  <c r="T161" i="6"/>
  <c r="W162" i="6"/>
  <c r="L170" i="6"/>
  <c r="J168" i="6"/>
  <c r="R168" i="6"/>
  <c r="K172" i="6"/>
  <c r="S172" i="6"/>
  <c r="K168" i="6"/>
  <c r="N172" i="6"/>
  <c r="U168" i="6"/>
  <c r="Q168" i="6"/>
  <c r="M168" i="6"/>
  <c r="I168" i="6"/>
  <c r="X168" i="6"/>
  <c r="T168" i="6"/>
  <c r="P168" i="6"/>
  <c r="L168" i="6"/>
  <c r="F168" i="6"/>
  <c r="U172" i="6"/>
  <c r="Q172" i="6"/>
  <c r="M172" i="6"/>
  <c r="I172" i="6"/>
  <c r="X172" i="6"/>
  <c r="T172" i="6"/>
  <c r="P172" i="6"/>
  <c r="L172" i="6"/>
  <c r="F172" i="6"/>
  <c r="N168" i="6"/>
  <c r="V168" i="6"/>
  <c r="O172" i="6"/>
  <c r="W172" i="6"/>
  <c r="I17" i="2"/>
  <c r="C272" i="1"/>
  <c r="C318" i="1" s="1"/>
  <c r="C274" i="1"/>
  <c r="C320" i="1" s="1"/>
  <c r="C247" i="1"/>
  <c r="C293" i="1" s="1"/>
  <c r="C253" i="1"/>
  <c r="C299" i="1" s="1"/>
  <c r="C255" i="1"/>
  <c r="C301" i="1" s="1"/>
  <c r="C257" i="1"/>
  <c r="C303" i="1" s="1"/>
  <c r="C262" i="1"/>
  <c r="C308" i="1" s="1"/>
  <c r="C264" i="1"/>
  <c r="C310" i="1" s="1"/>
  <c r="C266" i="1"/>
  <c r="C312" i="1" s="1"/>
  <c r="C268" i="1"/>
  <c r="C314" i="1" s="1"/>
  <c r="D132" i="1"/>
  <c r="C230" i="1"/>
  <c r="C232" i="1"/>
  <c r="C228" i="1"/>
  <c r="C221" i="1"/>
  <c r="C219" i="1"/>
  <c r="C210" i="1"/>
  <c r="C202" i="1"/>
  <c r="M127" i="6" l="1"/>
  <c r="R127" i="6"/>
  <c r="P131" i="6"/>
  <c r="K127" i="6"/>
  <c r="I272" i="6"/>
  <c r="I318" i="6" s="1"/>
  <c r="L272" i="6"/>
  <c r="L318" i="6" s="1"/>
  <c r="L262" i="6"/>
  <c r="L308" i="6" s="1"/>
  <c r="I262" i="6"/>
  <c r="I308" i="6" s="1"/>
  <c r="X261" i="6"/>
  <c r="X307" i="6" s="1"/>
  <c r="X214" i="6"/>
  <c r="X213" i="6"/>
  <c r="X212" i="6"/>
  <c r="K271" i="6"/>
  <c r="K317" i="6" s="1"/>
  <c r="K266" i="6"/>
  <c r="K312" i="6" s="1"/>
  <c r="K15" i="8"/>
  <c r="K7" i="8"/>
  <c r="K38" i="8"/>
  <c r="K21" i="8"/>
  <c r="K9" i="8"/>
  <c r="K44" i="8"/>
  <c r="K46" i="8"/>
  <c r="K45" i="8"/>
  <c r="K35" i="8"/>
  <c r="K19" i="8"/>
  <c r="K11" i="8"/>
  <c r="K29" i="8"/>
  <c r="K27" i="8"/>
  <c r="K31" i="8"/>
  <c r="K34" i="8"/>
  <c r="K17" i="8"/>
  <c r="K5" i="8"/>
  <c r="K25" i="8"/>
  <c r="J272" i="6"/>
  <c r="J318" i="6" s="1"/>
  <c r="N271" i="6"/>
  <c r="N317" i="6" s="1"/>
  <c r="U262" i="6"/>
  <c r="S272" i="6"/>
  <c r="S318" i="6" s="1"/>
  <c r="O262" i="6"/>
  <c r="O308" i="6" s="1"/>
  <c r="X219" i="6"/>
  <c r="X238" i="6" s="1"/>
  <c r="X252" i="6"/>
  <c r="X298" i="6" s="1"/>
  <c r="X257" i="6"/>
  <c r="X303" i="6" s="1"/>
  <c r="X264" i="6"/>
  <c r="X244" i="6"/>
  <c r="X290" i="6" s="1"/>
  <c r="X246" i="6"/>
  <c r="X292" i="6" s="1"/>
  <c r="X251" i="6"/>
  <c r="X297" i="6" s="1"/>
  <c r="X255" i="6"/>
  <c r="X266" i="6"/>
  <c r="X270" i="6"/>
  <c r="X316" i="6" s="1"/>
  <c r="X245" i="6"/>
  <c r="X291" i="6" s="1"/>
  <c r="X250" i="6"/>
  <c r="X296" i="6" s="1"/>
  <c r="X260" i="6"/>
  <c r="X306" i="6" s="1"/>
  <c r="X268" i="6"/>
  <c r="X249" i="6"/>
  <c r="X295" i="6" s="1"/>
  <c r="X259" i="6"/>
  <c r="X305" i="6" s="1"/>
  <c r="X271" i="6"/>
  <c r="X317" i="6" s="1"/>
  <c r="X272" i="6"/>
  <c r="X262" i="6"/>
  <c r="X247" i="6"/>
  <c r="X253" i="6"/>
  <c r="W215" i="6"/>
  <c r="W237" i="6" s="1"/>
  <c r="W250" i="6"/>
  <c r="W296" i="6" s="1"/>
  <c r="W246" i="6"/>
  <c r="W292" i="6" s="1"/>
  <c r="W244" i="6"/>
  <c r="W290" i="6" s="1"/>
  <c r="W251" i="6"/>
  <c r="W297" i="6" s="1"/>
  <c r="W249" i="6"/>
  <c r="W295" i="6" s="1"/>
  <c r="W255" i="6"/>
  <c r="W301" i="6" s="1"/>
  <c r="W259" i="6"/>
  <c r="W305" i="6" s="1"/>
  <c r="W266" i="6"/>
  <c r="W312" i="6" s="1"/>
  <c r="W270" i="6"/>
  <c r="W316" i="6" s="1"/>
  <c r="W252" i="6"/>
  <c r="W298" i="6" s="1"/>
  <c r="W257" i="6"/>
  <c r="W303" i="6" s="1"/>
  <c r="W260" i="6"/>
  <c r="W306" i="6" s="1"/>
  <c r="W268" i="6"/>
  <c r="W314" i="6" s="1"/>
  <c r="W245" i="6"/>
  <c r="W291" i="6" s="1"/>
  <c r="W264" i="6"/>
  <c r="W310" i="6" s="1"/>
  <c r="W261" i="6"/>
  <c r="W307" i="6" s="1"/>
  <c r="W272" i="6"/>
  <c r="W318" i="6" s="1"/>
  <c r="W262" i="6"/>
  <c r="W308" i="6" s="1"/>
  <c r="W271" i="6"/>
  <c r="W317" i="6" s="1"/>
  <c r="W253" i="6"/>
  <c r="W299" i="6" s="1"/>
  <c r="V202" i="6"/>
  <c r="V245" i="6"/>
  <c r="V291" i="6" s="1"/>
  <c r="V250" i="6"/>
  <c r="V296" i="6" s="1"/>
  <c r="V260" i="6"/>
  <c r="V306" i="6" s="1"/>
  <c r="V268" i="6"/>
  <c r="V246" i="6"/>
  <c r="V292" i="6" s="1"/>
  <c r="V251" i="6"/>
  <c r="V297" i="6" s="1"/>
  <c r="V255" i="6"/>
  <c r="V266" i="6"/>
  <c r="V252" i="6"/>
  <c r="V298" i="6" s="1"/>
  <c r="V257" i="6"/>
  <c r="V264" i="6"/>
  <c r="V244" i="6"/>
  <c r="V290" i="6" s="1"/>
  <c r="V249" i="6"/>
  <c r="V295" i="6" s="1"/>
  <c r="V259" i="6"/>
  <c r="V305" i="6" s="1"/>
  <c r="V270" i="6"/>
  <c r="V316" i="6" s="1"/>
  <c r="V261" i="6"/>
  <c r="V307" i="6" s="1"/>
  <c r="V262" i="6"/>
  <c r="V272" i="6"/>
  <c r="V247" i="6"/>
  <c r="V271" i="6"/>
  <c r="V317" i="6" s="1"/>
  <c r="V253" i="6"/>
  <c r="U210" i="6"/>
  <c r="U236" i="6" s="1"/>
  <c r="U246" i="6"/>
  <c r="U292" i="6" s="1"/>
  <c r="U245" i="6"/>
  <c r="U291" i="6" s="1"/>
  <c r="U244" i="6"/>
  <c r="U290" i="6" s="1"/>
  <c r="U252" i="6"/>
  <c r="U298" i="6" s="1"/>
  <c r="U251" i="6"/>
  <c r="U297" i="6" s="1"/>
  <c r="U250" i="6"/>
  <c r="U296" i="6" s="1"/>
  <c r="U249" i="6"/>
  <c r="U295" i="6" s="1"/>
  <c r="U257" i="6"/>
  <c r="U255" i="6"/>
  <c r="U260" i="6"/>
  <c r="U306" i="6" s="1"/>
  <c r="U259" i="6"/>
  <c r="U305" i="6" s="1"/>
  <c r="U264" i="6"/>
  <c r="U266" i="6"/>
  <c r="U268" i="6"/>
  <c r="U270" i="6"/>
  <c r="U316" i="6" s="1"/>
  <c r="U271" i="6"/>
  <c r="U317" i="6" s="1"/>
  <c r="U247" i="6"/>
  <c r="U261" i="6"/>
  <c r="U307" i="6" s="1"/>
  <c r="U253" i="6"/>
  <c r="S219" i="6"/>
  <c r="S238" i="6" s="1"/>
  <c r="S257" i="6"/>
  <c r="S303" i="6" s="1"/>
  <c r="S246" i="6"/>
  <c r="S292" i="6" s="1"/>
  <c r="S244" i="6"/>
  <c r="S290" i="6" s="1"/>
  <c r="S251" i="6"/>
  <c r="S297" i="6" s="1"/>
  <c r="S249" i="6"/>
  <c r="S295" i="6" s="1"/>
  <c r="S255" i="6"/>
  <c r="S301" i="6" s="1"/>
  <c r="S259" i="6"/>
  <c r="S305" i="6" s="1"/>
  <c r="S266" i="6"/>
  <c r="S312" i="6" s="1"/>
  <c r="S270" i="6"/>
  <c r="S316" i="6" s="1"/>
  <c r="S260" i="6"/>
  <c r="S306" i="6" s="1"/>
  <c r="S268" i="6"/>
  <c r="S314" i="6" s="1"/>
  <c r="S245" i="6"/>
  <c r="S291" i="6" s="1"/>
  <c r="S252" i="6"/>
  <c r="S298" i="6" s="1"/>
  <c r="S250" i="6"/>
  <c r="S296" i="6" s="1"/>
  <c r="S264" i="6"/>
  <c r="S310" i="6" s="1"/>
  <c r="S261" i="6"/>
  <c r="S307" i="6" s="1"/>
  <c r="S262" i="6"/>
  <c r="S308" i="6" s="1"/>
  <c r="S271" i="6"/>
  <c r="S317" i="6" s="1"/>
  <c r="S247" i="6"/>
  <c r="S293" i="6" s="1"/>
  <c r="R227" i="6"/>
  <c r="R245" i="6"/>
  <c r="R291" i="6" s="1"/>
  <c r="R250" i="6"/>
  <c r="R296" i="6" s="1"/>
  <c r="R260" i="6"/>
  <c r="R306" i="6" s="1"/>
  <c r="R268" i="6"/>
  <c r="R257" i="6"/>
  <c r="R244" i="6"/>
  <c r="R290" i="6" s="1"/>
  <c r="R259" i="6"/>
  <c r="R305" i="6" s="1"/>
  <c r="R246" i="6"/>
  <c r="R292" i="6" s="1"/>
  <c r="R251" i="6"/>
  <c r="R297" i="6" s="1"/>
  <c r="R255" i="6"/>
  <c r="R266" i="6"/>
  <c r="R252" i="6"/>
  <c r="R298" i="6" s="1"/>
  <c r="R264" i="6"/>
  <c r="R249" i="6"/>
  <c r="R295" i="6" s="1"/>
  <c r="R270" i="6"/>
  <c r="R316" i="6" s="1"/>
  <c r="R271" i="6"/>
  <c r="R317" i="6" s="1"/>
  <c r="R272" i="6"/>
  <c r="R253" i="6"/>
  <c r="R261" i="6"/>
  <c r="R307" i="6" s="1"/>
  <c r="R247" i="6"/>
  <c r="R293" i="6" s="1"/>
  <c r="R262" i="6"/>
  <c r="Q228" i="6"/>
  <c r="Q240" i="6" s="1"/>
  <c r="Q246" i="6"/>
  <c r="Q292" i="6" s="1"/>
  <c r="Q245" i="6"/>
  <c r="Q291" i="6" s="1"/>
  <c r="Q244" i="6"/>
  <c r="Q290" i="6" s="1"/>
  <c r="Q252" i="6"/>
  <c r="Q298" i="6" s="1"/>
  <c r="Q251" i="6"/>
  <c r="Q297" i="6" s="1"/>
  <c r="Q250" i="6"/>
  <c r="Q296" i="6" s="1"/>
  <c r="Q249" i="6"/>
  <c r="Q295" i="6" s="1"/>
  <c r="Q257" i="6"/>
  <c r="Q255" i="6"/>
  <c r="Q301" i="6" s="1"/>
  <c r="Q260" i="6"/>
  <c r="Q306" i="6" s="1"/>
  <c r="Q259" i="6"/>
  <c r="Q305" i="6" s="1"/>
  <c r="Q264" i="6"/>
  <c r="Q266" i="6"/>
  <c r="Q268" i="6"/>
  <c r="Q270" i="6"/>
  <c r="Q316" i="6" s="1"/>
  <c r="Q271" i="6"/>
  <c r="Q317" i="6" s="1"/>
  <c r="Q261" i="6"/>
  <c r="Q307" i="6" s="1"/>
  <c r="Q262" i="6"/>
  <c r="Q253" i="6"/>
  <c r="Q247" i="6"/>
  <c r="O250" i="6"/>
  <c r="O296" i="6" s="1"/>
  <c r="O268" i="6"/>
  <c r="O314" i="6" s="1"/>
  <c r="O246" i="6"/>
  <c r="O292" i="6" s="1"/>
  <c r="O244" i="6"/>
  <c r="O290" i="6" s="1"/>
  <c r="O251" i="6"/>
  <c r="O297" i="6" s="1"/>
  <c r="O249" i="6"/>
  <c r="O295" i="6" s="1"/>
  <c r="O255" i="6"/>
  <c r="O301" i="6" s="1"/>
  <c r="O259" i="6"/>
  <c r="O305" i="6" s="1"/>
  <c r="O266" i="6"/>
  <c r="O312" i="6" s="1"/>
  <c r="O270" i="6"/>
  <c r="O316" i="6" s="1"/>
  <c r="O245" i="6"/>
  <c r="O291" i="6" s="1"/>
  <c r="O257" i="6"/>
  <c r="O303" i="6" s="1"/>
  <c r="O260" i="6"/>
  <c r="O306" i="6" s="1"/>
  <c r="O252" i="6"/>
  <c r="O298" i="6" s="1"/>
  <c r="O264" i="6"/>
  <c r="O310" i="6" s="1"/>
  <c r="O271" i="6"/>
  <c r="O317" i="6" s="1"/>
  <c r="O261" i="6"/>
  <c r="O307" i="6" s="1"/>
  <c r="O272" i="6"/>
  <c r="O318" i="6" s="1"/>
  <c r="O253" i="6"/>
  <c r="O299" i="6" s="1"/>
  <c r="N227" i="6"/>
  <c r="N245" i="6"/>
  <c r="N291" i="6" s="1"/>
  <c r="N250" i="6"/>
  <c r="N296" i="6" s="1"/>
  <c r="N260" i="6"/>
  <c r="N306" i="6" s="1"/>
  <c r="N268" i="6"/>
  <c r="N314" i="6" s="1"/>
  <c r="N257" i="6"/>
  <c r="N264" i="6"/>
  <c r="N244" i="6"/>
  <c r="N290" i="6" s="1"/>
  <c r="N270" i="6"/>
  <c r="N316" i="6" s="1"/>
  <c r="N246" i="6"/>
  <c r="N292" i="6" s="1"/>
  <c r="N251" i="6"/>
  <c r="N297" i="6" s="1"/>
  <c r="N255" i="6"/>
  <c r="N266" i="6"/>
  <c r="N252" i="6"/>
  <c r="N298" i="6" s="1"/>
  <c r="N249" i="6"/>
  <c r="N295" i="6" s="1"/>
  <c r="N259" i="6"/>
  <c r="N305" i="6" s="1"/>
  <c r="N261" i="6"/>
  <c r="N307" i="6" s="1"/>
  <c r="N272" i="6"/>
  <c r="N247" i="6"/>
  <c r="L202" i="6"/>
  <c r="L252" i="6"/>
  <c r="L298" i="6" s="1"/>
  <c r="L257" i="6"/>
  <c r="L264" i="6"/>
  <c r="L310" i="6" s="1"/>
  <c r="L249" i="6"/>
  <c r="L295" i="6" s="1"/>
  <c r="L246" i="6"/>
  <c r="L292" i="6" s="1"/>
  <c r="L251" i="6"/>
  <c r="L297" i="6" s="1"/>
  <c r="L255" i="6"/>
  <c r="L301" i="6" s="1"/>
  <c r="L266" i="6"/>
  <c r="L245" i="6"/>
  <c r="L291" i="6" s="1"/>
  <c r="L250" i="6"/>
  <c r="L296" i="6" s="1"/>
  <c r="L260" i="6"/>
  <c r="L306" i="6" s="1"/>
  <c r="L268" i="6"/>
  <c r="L314" i="6" s="1"/>
  <c r="L244" i="6"/>
  <c r="L290" i="6" s="1"/>
  <c r="L259" i="6"/>
  <c r="L305" i="6" s="1"/>
  <c r="L270" i="6"/>
  <c r="L316" i="6" s="1"/>
  <c r="L271" i="6"/>
  <c r="L317" i="6" s="1"/>
  <c r="L261" i="6"/>
  <c r="L307" i="6" s="1"/>
  <c r="L253" i="6"/>
  <c r="L299" i="6" s="1"/>
  <c r="L247" i="6"/>
  <c r="K210" i="6"/>
  <c r="K236" i="6" s="1"/>
  <c r="K245" i="6"/>
  <c r="K291" i="6" s="1"/>
  <c r="K260" i="6"/>
  <c r="K306" i="6" s="1"/>
  <c r="K268" i="6"/>
  <c r="K246" i="6"/>
  <c r="K292" i="6" s="1"/>
  <c r="K244" i="6"/>
  <c r="K290" i="6" s="1"/>
  <c r="K251" i="6"/>
  <c r="K297" i="6" s="1"/>
  <c r="K249" i="6"/>
  <c r="K295" i="6" s="1"/>
  <c r="K255" i="6"/>
  <c r="K259" i="6"/>
  <c r="K305" i="6" s="1"/>
  <c r="K284" i="6"/>
  <c r="K330" i="6" s="1"/>
  <c r="K270" i="6"/>
  <c r="K316" i="6" s="1"/>
  <c r="K252" i="6"/>
  <c r="K298" i="6" s="1"/>
  <c r="K250" i="6"/>
  <c r="K296" i="6" s="1"/>
  <c r="K257" i="6"/>
  <c r="K264" i="6"/>
  <c r="K261" i="6"/>
  <c r="K307" i="6" s="1"/>
  <c r="K272" i="6"/>
  <c r="K253" i="6"/>
  <c r="K247" i="6"/>
  <c r="J244" i="6"/>
  <c r="J290" i="6" s="1"/>
  <c r="J249" i="6"/>
  <c r="J295" i="6" s="1"/>
  <c r="J259" i="6"/>
  <c r="J305" i="6" s="1"/>
  <c r="J270" i="6"/>
  <c r="J316" i="6" s="1"/>
  <c r="J245" i="6"/>
  <c r="J291" i="6" s="1"/>
  <c r="J250" i="6"/>
  <c r="J296" i="6" s="1"/>
  <c r="J260" i="6"/>
  <c r="J306" i="6" s="1"/>
  <c r="J268" i="6"/>
  <c r="J314" i="6" s="1"/>
  <c r="J246" i="6"/>
  <c r="J292" i="6" s="1"/>
  <c r="J251" i="6"/>
  <c r="J297" i="6" s="1"/>
  <c r="J255" i="6"/>
  <c r="J266" i="6"/>
  <c r="J247" i="6"/>
  <c r="J293" i="6" s="1"/>
  <c r="J252" i="6"/>
  <c r="J298" i="6" s="1"/>
  <c r="J257" i="6"/>
  <c r="J264" i="6"/>
  <c r="J261" i="6"/>
  <c r="J307" i="6" s="1"/>
  <c r="J262" i="6"/>
  <c r="J271" i="6"/>
  <c r="J317" i="6" s="1"/>
  <c r="J253" i="6"/>
  <c r="I259" i="6"/>
  <c r="I305" i="6" s="1"/>
  <c r="I247" i="6"/>
  <c r="I293" i="6" s="1"/>
  <c r="I246" i="6"/>
  <c r="I292" i="6" s="1"/>
  <c r="I245" i="6"/>
  <c r="I291" i="6" s="1"/>
  <c r="I244" i="6"/>
  <c r="I290" i="6" s="1"/>
  <c r="I252" i="6"/>
  <c r="I298" i="6" s="1"/>
  <c r="I251" i="6"/>
  <c r="I297" i="6" s="1"/>
  <c r="I250" i="6"/>
  <c r="I296" i="6" s="1"/>
  <c r="I249" i="6"/>
  <c r="I295" i="6" s="1"/>
  <c r="I257" i="6"/>
  <c r="I303" i="6" s="1"/>
  <c r="I255" i="6"/>
  <c r="I301" i="6" s="1"/>
  <c r="I264" i="6"/>
  <c r="I310" i="6" s="1"/>
  <c r="I266" i="6"/>
  <c r="I312" i="6" s="1"/>
  <c r="I268" i="6"/>
  <c r="I314" i="6" s="1"/>
  <c r="I270" i="6"/>
  <c r="I316" i="6" s="1"/>
  <c r="I260" i="6"/>
  <c r="I306" i="6" s="1"/>
  <c r="I271" i="6"/>
  <c r="I317" i="6" s="1"/>
  <c r="I261" i="6"/>
  <c r="I307" i="6" s="1"/>
  <c r="I253" i="6"/>
  <c r="I299" i="6" s="1"/>
  <c r="J88" i="6"/>
  <c r="U88" i="6"/>
  <c r="U274" i="6" s="1"/>
  <c r="U320" i="6" s="1"/>
  <c r="U272" i="6"/>
  <c r="Q88" i="6"/>
  <c r="Q274" i="6" s="1"/>
  <c r="Q320" i="6" s="1"/>
  <c r="Q272" i="6"/>
  <c r="F83" i="9"/>
  <c r="V173" i="6"/>
  <c r="L173" i="6"/>
  <c r="Q173" i="6"/>
  <c r="J173" i="6"/>
  <c r="T173" i="6"/>
  <c r="I173" i="6"/>
  <c r="W173" i="6"/>
  <c r="F173" i="6"/>
  <c r="K173" i="6"/>
  <c r="R88" i="6"/>
  <c r="X88" i="6"/>
  <c r="X274" i="6" s="1"/>
  <c r="X320" i="6" s="1"/>
  <c r="F76" i="6"/>
  <c r="V88" i="6"/>
  <c r="V274" i="6" s="1"/>
  <c r="V320" i="6" s="1"/>
  <c r="F73" i="9"/>
  <c r="N88" i="6"/>
  <c r="N274" i="6" s="1"/>
  <c r="N320" i="6" s="1"/>
  <c r="N262" i="6"/>
  <c r="K88" i="6"/>
  <c r="K274" i="6" s="1"/>
  <c r="K320" i="6" s="1"/>
  <c r="K262" i="6"/>
  <c r="J274" i="6"/>
  <c r="J320" i="6" s="1"/>
  <c r="R274" i="6"/>
  <c r="R320" i="6" s="1"/>
  <c r="R173" i="6"/>
  <c r="P173" i="6"/>
  <c r="S173" i="6"/>
  <c r="N173" i="6"/>
  <c r="O173" i="6"/>
  <c r="F86" i="6"/>
  <c r="R174" i="6" s="1"/>
  <c r="X173" i="6"/>
  <c r="M173" i="6"/>
  <c r="U173" i="6"/>
  <c r="R163" i="6"/>
  <c r="J163" i="6"/>
  <c r="T163" i="6"/>
  <c r="P127" i="6"/>
  <c r="O221" i="6"/>
  <c r="O239" i="6" s="1"/>
  <c r="L88" i="6"/>
  <c r="L274" i="6" s="1"/>
  <c r="L320" i="6" s="1"/>
  <c r="I217" i="6"/>
  <c r="T154" i="6"/>
  <c r="P56" i="6"/>
  <c r="P272" i="6" s="1"/>
  <c r="P318" i="6" s="1"/>
  <c r="G23" i="8"/>
  <c r="J210" i="6"/>
  <c r="J236" i="6" s="1"/>
  <c r="I230" i="6"/>
  <c r="O202" i="6"/>
  <c r="V227" i="6"/>
  <c r="K219" i="6"/>
  <c r="K238" i="6" s="1"/>
  <c r="K202" i="6"/>
  <c r="V114" i="6"/>
  <c r="P114" i="6"/>
  <c r="U114" i="6"/>
  <c r="R114" i="6"/>
  <c r="N114" i="6"/>
  <c r="X114" i="6"/>
  <c r="F67" i="6"/>
  <c r="Q155" i="6" s="1"/>
  <c r="U149" i="6"/>
  <c r="G58" i="8"/>
  <c r="S149" i="6"/>
  <c r="L210" i="6"/>
  <c r="L236" i="6" s="1"/>
  <c r="L227" i="6"/>
  <c r="R215" i="6"/>
  <c r="R237" i="6" s="1"/>
  <c r="K227" i="6"/>
  <c r="I139" i="6"/>
  <c r="G48" i="8"/>
  <c r="X210" i="6"/>
  <c r="X236" i="6" s="1"/>
  <c r="W227" i="6"/>
  <c r="W219" i="6"/>
  <c r="W238" i="6" s="1"/>
  <c r="V215" i="6"/>
  <c r="V237" i="6" s="1"/>
  <c r="V219" i="6"/>
  <c r="V238" i="6" s="1"/>
  <c r="U215" i="6"/>
  <c r="U237" i="6" s="1"/>
  <c r="R210" i="6"/>
  <c r="R236" i="6" s="1"/>
  <c r="Q127" i="6"/>
  <c r="V228" i="6"/>
  <c r="V240" i="6" s="1"/>
  <c r="L127" i="6"/>
  <c r="W127" i="6"/>
  <c r="V127" i="6"/>
  <c r="X127" i="6"/>
  <c r="G36" i="8"/>
  <c r="U127" i="6"/>
  <c r="T127" i="6"/>
  <c r="N210" i="6"/>
  <c r="N236" i="6" s="1"/>
  <c r="R228" i="6"/>
  <c r="R240" i="6" s="1"/>
  <c r="S227" i="6"/>
  <c r="O215" i="6"/>
  <c r="O237" i="6" s="1"/>
  <c r="X227" i="6"/>
  <c r="R202" i="6"/>
  <c r="K221" i="6"/>
  <c r="K239" i="6" s="1"/>
  <c r="Q202" i="6"/>
  <c r="X228" i="6"/>
  <c r="X240" i="6" s="1"/>
  <c r="O227" i="6"/>
  <c r="O219" i="6"/>
  <c r="O238" i="6" s="1"/>
  <c r="K215" i="6"/>
  <c r="K237" i="6" s="1"/>
  <c r="U202" i="6"/>
  <c r="Q219" i="6"/>
  <c r="Q238" i="6" s="1"/>
  <c r="X202" i="6"/>
  <c r="J122" i="6"/>
  <c r="M122" i="6"/>
  <c r="U122" i="6"/>
  <c r="X122" i="6"/>
  <c r="R122" i="6"/>
  <c r="V210" i="6"/>
  <c r="V236" i="6" s="1"/>
  <c r="V221" i="6"/>
  <c r="V239" i="6" s="1"/>
  <c r="N219" i="6"/>
  <c r="N238" i="6" s="1"/>
  <c r="S114" i="6"/>
  <c r="W114" i="6"/>
  <c r="J114" i="6"/>
  <c r="T114" i="6"/>
  <c r="M114" i="6"/>
  <c r="Q114" i="6"/>
  <c r="L114" i="6"/>
  <c r="F40" i="8"/>
  <c r="K40" i="8" s="1"/>
  <c r="F45" i="7"/>
  <c r="F42" i="8" s="1"/>
  <c r="F83" i="8"/>
  <c r="F58" i="8"/>
  <c r="F73" i="8"/>
  <c r="F67" i="7"/>
  <c r="G67" i="7" s="1"/>
  <c r="G88" i="7" s="1"/>
  <c r="F63" i="8"/>
  <c r="F82" i="8"/>
  <c r="F23" i="8"/>
  <c r="F52" i="7"/>
  <c r="N285" i="6"/>
  <c r="N331" i="6" s="1"/>
  <c r="I225" i="6"/>
  <c r="I223" i="6"/>
  <c r="I214" i="6"/>
  <c r="I206" i="6"/>
  <c r="I198" i="6"/>
  <c r="I232" i="6"/>
  <c r="I218" i="6"/>
  <c r="I213" i="6"/>
  <c r="I209" i="6"/>
  <c r="I226" i="6"/>
  <c r="I208" i="6"/>
  <c r="I199" i="6"/>
  <c r="I194" i="6"/>
  <c r="I190" i="6"/>
  <c r="I186" i="6"/>
  <c r="I212" i="6"/>
  <c r="I207" i="6"/>
  <c r="I197" i="6"/>
  <c r="I193" i="6"/>
  <c r="I189" i="6"/>
  <c r="I185" i="6"/>
  <c r="I204" i="6"/>
  <c r="I192" i="6"/>
  <c r="I184" i="6"/>
  <c r="I205" i="6"/>
  <c r="I200" i="6"/>
  <c r="I195" i="6"/>
  <c r="I191" i="6"/>
  <c r="I183" i="6"/>
  <c r="I201" i="6"/>
  <c r="I196" i="6"/>
  <c r="I188" i="6"/>
  <c r="I224" i="6"/>
  <c r="I187" i="6"/>
  <c r="O131" i="6"/>
  <c r="S131" i="6"/>
  <c r="M131" i="6"/>
  <c r="F131" i="6"/>
  <c r="H43" i="6"/>
  <c r="F52" i="6"/>
  <c r="F56" i="6" s="1"/>
  <c r="V131" i="6"/>
  <c r="W210" i="6"/>
  <c r="W236" i="6" s="1"/>
  <c r="V149" i="6"/>
  <c r="J149" i="6"/>
  <c r="K131" i="6"/>
  <c r="U131" i="6"/>
  <c r="W202" i="6"/>
  <c r="L221" i="6"/>
  <c r="L239" i="6" s="1"/>
  <c r="U139" i="6"/>
  <c r="U228" i="6"/>
  <c r="U240" i="6" s="1"/>
  <c r="Q221" i="6"/>
  <c r="Q239" i="6" s="1"/>
  <c r="F122" i="6"/>
  <c r="W122" i="6"/>
  <c r="K122" i="6"/>
  <c r="V122" i="6"/>
  <c r="F163" i="6"/>
  <c r="U163" i="6"/>
  <c r="S217" i="6"/>
  <c r="S212" i="6"/>
  <c r="S208" i="6"/>
  <c r="S204" i="6"/>
  <c r="S200" i="6"/>
  <c r="S196" i="6"/>
  <c r="S224" i="6"/>
  <c r="S207" i="6"/>
  <c r="S230" i="6"/>
  <c r="S226" i="6"/>
  <c r="S213" i="6"/>
  <c r="S206" i="6"/>
  <c r="S199" i="6"/>
  <c r="S194" i="6"/>
  <c r="S192" i="6"/>
  <c r="S188" i="6"/>
  <c r="S184" i="6"/>
  <c r="S232" i="6"/>
  <c r="S205" i="6"/>
  <c r="S198" i="6"/>
  <c r="S191" i="6"/>
  <c r="S187" i="6"/>
  <c r="S183" i="6"/>
  <c r="S223" i="6"/>
  <c r="S214" i="6"/>
  <c r="S197" i="6"/>
  <c r="S190" i="6"/>
  <c r="S225" i="6"/>
  <c r="S195" i="6"/>
  <c r="S189" i="6"/>
  <c r="S209" i="6"/>
  <c r="S186" i="6"/>
  <c r="S218" i="6"/>
  <c r="S193" i="6"/>
  <c r="S185" i="6"/>
  <c r="S201" i="6"/>
  <c r="U227" i="6"/>
  <c r="U219" i="6"/>
  <c r="U238" i="6" s="1"/>
  <c r="R149" i="6"/>
  <c r="I163" i="6"/>
  <c r="J139" i="6"/>
  <c r="J219" i="6"/>
  <c r="J238" i="6" s="1"/>
  <c r="I202" i="6"/>
  <c r="N122" i="6"/>
  <c r="L230" i="6"/>
  <c r="L226" i="6"/>
  <c r="L225" i="6"/>
  <c r="L224" i="6"/>
  <c r="L207" i="6"/>
  <c r="L199" i="6"/>
  <c r="L195" i="6"/>
  <c r="L223" i="6"/>
  <c r="L214" i="6"/>
  <c r="L206" i="6"/>
  <c r="L232" i="6"/>
  <c r="L212" i="6"/>
  <c r="L205" i="6"/>
  <c r="L201" i="6"/>
  <c r="L196" i="6"/>
  <c r="L191" i="6"/>
  <c r="L187" i="6"/>
  <c r="L183" i="6"/>
  <c r="L218" i="6"/>
  <c r="L204" i="6"/>
  <c r="L200" i="6"/>
  <c r="L194" i="6"/>
  <c r="L190" i="6"/>
  <c r="L186" i="6"/>
  <c r="L208" i="6"/>
  <c r="L198" i="6"/>
  <c r="L189" i="6"/>
  <c r="L217" i="6"/>
  <c r="L188" i="6"/>
  <c r="L213" i="6"/>
  <c r="L193" i="6"/>
  <c r="L185" i="6"/>
  <c r="L184" i="6"/>
  <c r="L209" i="6"/>
  <c r="L197" i="6"/>
  <c r="L192" i="6"/>
  <c r="L131" i="6"/>
  <c r="X221" i="6"/>
  <c r="X239" i="6" s="1"/>
  <c r="P149" i="6"/>
  <c r="P139" i="6"/>
  <c r="W131" i="6"/>
  <c r="X281" i="6"/>
  <c r="X327" i="6" s="1"/>
  <c r="L286" i="6"/>
  <c r="L332" i="6" s="1"/>
  <c r="V163" i="6"/>
  <c r="N163" i="6"/>
  <c r="Q225" i="6"/>
  <c r="Q226" i="6"/>
  <c r="Q223" i="6"/>
  <c r="Q214" i="6"/>
  <c r="Q206" i="6"/>
  <c r="Q198" i="6"/>
  <c r="Q194" i="6"/>
  <c r="Q230" i="6"/>
  <c r="Q218" i="6"/>
  <c r="Q213" i="6"/>
  <c r="Q209" i="6"/>
  <c r="Q205" i="6"/>
  <c r="Q208" i="6"/>
  <c r="Q201" i="6"/>
  <c r="Q196" i="6"/>
  <c r="Q190" i="6"/>
  <c r="Q186" i="6"/>
  <c r="Q212" i="6"/>
  <c r="Q207" i="6"/>
  <c r="Q204" i="6"/>
  <c r="Q200" i="6"/>
  <c r="Q195" i="6"/>
  <c r="Q193" i="6"/>
  <c r="Q189" i="6"/>
  <c r="Q185" i="6"/>
  <c r="Q217" i="6"/>
  <c r="Q199" i="6"/>
  <c r="Q192" i="6"/>
  <c r="Q184" i="6"/>
  <c r="Q224" i="6"/>
  <c r="Q197" i="6"/>
  <c r="Q191" i="6"/>
  <c r="Q183" i="6"/>
  <c r="Q188" i="6"/>
  <c r="Q90" i="6"/>
  <c r="Q227" i="6"/>
  <c r="Q187" i="6"/>
  <c r="Q232" i="6"/>
  <c r="S215" i="6"/>
  <c r="S237" i="6" s="1"/>
  <c r="X163" i="6"/>
  <c r="O217" i="6"/>
  <c r="O212" i="6"/>
  <c r="O208" i="6"/>
  <c r="O204" i="6"/>
  <c r="O200" i="6"/>
  <c r="O196" i="6"/>
  <c r="O232" i="6"/>
  <c r="O226" i="6"/>
  <c r="O224" i="6"/>
  <c r="O207" i="6"/>
  <c r="O225" i="6"/>
  <c r="O223" i="6"/>
  <c r="O218" i="6"/>
  <c r="O198" i="6"/>
  <c r="O192" i="6"/>
  <c r="O188" i="6"/>
  <c r="O184" i="6"/>
  <c r="O230" i="6"/>
  <c r="O214" i="6"/>
  <c r="O209" i="6"/>
  <c r="O197" i="6"/>
  <c r="O191" i="6"/>
  <c r="O187" i="6"/>
  <c r="O183" i="6"/>
  <c r="O205" i="6"/>
  <c r="O201" i="6"/>
  <c r="O186" i="6"/>
  <c r="O213" i="6"/>
  <c r="O199" i="6"/>
  <c r="O194" i="6"/>
  <c r="O193" i="6"/>
  <c r="O185" i="6"/>
  <c r="O195" i="6"/>
  <c r="O190" i="6"/>
  <c r="O206" i="6"/>
  <c r="O189" i="6"/>
  <c r="O228" i="6"/>
  <c r="O240" i="6" s="1"/>
  <c r="I227" i="6"/>
  <c r="W163" i="6"/>
  <c r="O163" i="6"/>
  <c r="N232" i="6"/>
  <c r="N218" i="6"/>
  <c r="N213" i="6"/>
  <c r="N209" i="6"/>
  <c r="N205" i="6"/>
  <c r="N201" i="6"/>
  <c r="N197" i="6"/>
  <c r="N217" i="6"/>
  <c r="N212" i="6"/>
  <c r="N208" i="6"/>
  <c r="N224" i="6"/>
  <c r="N199" i="6"/>
  <c r="N194" i="6"/>
  <c r="N193" i="6"/>
  <c r="N189" i="6"/>
  <c r="N185" i="6"/>
  <c r="N225" i="6"/>
  <c r="N223" i="6"/>
  <c r="N198" i="6"/>
  <c r="N192" i="6"/>
  <c r="N188" i="6"/>
  <c r="N184" i="6"/>
  <c r="N206" i="6"/>
  <c r="N196" i="6"/>
  <c r="N187" i="6"/>
  <c r="N214" i="6"/>
  <c r="N186" i="6"/>
  <c r="N226" i="6"/>
  <c r="N204" i="6"/>
  <c r="N191" i="6"/>
  <c r="N183" i="6"/>
  <c r="N230" i="6"/>
  <c r="N207" i="6"/>
  <c r="N190" i="6"/>
  <c r="N200" i="6"/>
  <c r="N195" i="6"/>
  <c r="S122" i="6"/>
  <c r="Q163" i="6"/>
  <c r="V154" i="6"/>
  <c r="R154" i="6"/>
  <c r="N154" i="6"/>
  <c r="J154" i="6"/>
  <c r="U154" i="6"/>
  <c r="P154" i="6"/>
  <c r="K154" i="6"/>
  <c r="M154" i="6"/>
  <c r="S154" i="6"/>
  <c r="L154" i="6"/>
  <c r="X154" i="6"/>
  <c r="Q154" i="6"/>
  <c r="I154" i="6"/>
  <c r="W154" i="6"/>
  <c r="O154" i="6"/>
  <c r="F154" i="6"/>
  <c r="R139" i="6"/>
  <c r="J227" i="6"/>
  <c r="R131" i="6"/>
  <c r="J131" i="6"/>
  <c r="N215" i="6"/>
  <c r="N237" i="6" s="1"/>
  <c r="O210" i="6"/>
  <c r="O236" i="6" s="1"/>
  <c r="J202" i="6"/>
  <c r="K163" i="6"/>
  <c r="I219" i="6"/>
  <c r="I238" i="6" s="1"/>
  <c r="V232" i="6"/>
  <c r="V226" i="6"/>
  <c r="V218" i="6"/>
  <c r="V213" i="6"/>
  <c r="V209" i="6"/>
  <c r="V205" i="6"/>
  <c r="V201" i="6"/>
  <c r="V197" i="6"/>
  <c r="V230" i="6"/>
  <c r="V225" i="6"/>
  <c r="V217" i="6"/>
  <c r="V212" i="6"/>
  <c r="V208" i="6"/>
  <c r="V224" i="6"/>
  <c r="V196" i="6"/>
  <c r="V193" i="6"/>
  <c r="V189" i="6"/>
  <c r="V185" i="6"/>
  <c r="V223" i="6"/>
  <c r="V204" i="6"/>
  <c r="V200" i="6"/>
  <c r="V195" i="6"/>
  <c r="V192" i="6"/>
  <c r="V188" i="6"/>
  <c r="V184" i="6"/>
  <c r="V187" i="6"/>
  <c r="V207" i="6"/>
  <c r="V198" i="6"/>
  <c r="V186" i="6"/>
  <c r="V206" i="6"/>
  <c r="V199" i="6"/>
  <c r="V194" i="6"/>
  <c r="V191" i="6"/>
  <c r="V183" i="6"/>
  <c r="V190" i="6"/>
  <c r="V214" i="6"/>
  <c r="N228" i="6"/>
  <c r="N240" i="6" s="1"/>
  <c r="T56" i="6"/>
  <c r="O139" i="6"/>
  <c r="L219" i="6"/>
  <c r="L238" i="6" s="1"/>
  <c r="P163" i="6"/>
  <c r="Q122" i="6"/>
  <c r="I122" i="6"/>
  <c r="L228" i="6"/>
  <c r="L240" i="6" s="1"/>
  <c r="L215" i="6"/>
  <c r="L237" i="6" s="1"/>
  <c r="S139" i="6"/>
  <c r="F139" i="6"/>
  <c r="Q139" i="6"/>
  <c r="W139" i="6"/>
  <c r="X139" i="6"/>
  <c r="P88" i="6"/>
  <c r="W230" i="6"/>
  <c r="W225" i="6"/>
  <c r="W217" i="6"/>
  <c r="W212" i="6"/>
  <c r="W208" i="6"/>
  <c r="W204" i="6"/>
  <c r="W200" i="6"/>
  <c r="W196" i="6"/>
  <c r="W224" i="6"/>
  <c r="W207" i="6"/>
  <c r="W232" i="6"/>
  <c r="W223" i="6"/>
  <c r="W218" i="6"/>
  <c r="W201" i="6"/>
  <c r="W195" i="6"/>
  <c r="W192" i="6"/>
  <c r="W188" i="6"/>
  <c r="W184" i="6"/>
  <c r="W214" i="6"/>
  <c r="W209" i="6"/>
  <c r="W199" i="6"/>
  <c r="W194" i="6"/>
  <c r="W191" i="6"/>
  <c r="W187" i="6"/>
  <c r="W183" i="6"/>
  <c r="W198" i="6"/>
  <c r="W186" i="6"/>
  <c r="W226" i="6"/>
  <c r="W206" i="6"/>
  <c r="W193" i="6"/>
  <c r="W185" i="6"/>
  <c r="W205" i="6"/>
  <c r="W190" i="6"/>
  <c r="W213" i="6"/>
  <c r="W189" i="6"/>
  <c r="W197" i="6"/>
  <c r="W228" i="6"/>
  <c r="W240" i="6" s="1"/>
  <c r="F149" i="6"/>
  <c r="T149" i="6"/>
  <c r="Q149" i="6"/>
  <c r="L149" i="6"/>
  <c r="K149" i="6"/>
  <c r="I215" i="6"/>
  <c r="I237" i="6" s="1"/>
  <c r="J232" i="6"/>
  <c r="J218" i="6"/>
  <c r="J213" i="6"/>
  <c r="J209" i="6"/>
  <c r="J205" i="6"/>
  <c r="J201" i="6"/>
  <c r="J197" i="6"/>
  <c r="J226" i="6"/>
  <c r="J217" i="6"/>
  <c r="J212" i="6"/>
  <c r="J208" i="6"/>
  <c r="J214" i="6"/>
  <c r="J207" i="6"/>
  <c r="J198" i="6"/>
  <c r="J193" i="6"/>
  <c r="J189" i="6"/>
  <c r="J185" i="6"/>
  <c r="J206" i="6"/>
  <c r="J196" i="6"/>
  <c r="J192" i="6"/>
  <c r="J188" i="6"/>
  <c r="J184" i="6"/>
  <c r="J230" i="6"/>
  <c r="J200" i="6"/>
  <c r="J195" i="6"/>
  <c r="J191" i="6"/>
  <c r="J183" i="6"/>
  <c r="J190" i="6"/>
  <c r="J225" i="6"/>
  <c r="J224" i="6"/>
  <c r="J187" i="6"/>
  <c r="J186" i="6"/>
  <c r="J223" i="6"/>
  <c r="J204" i="6"/>
  <c r="J199" i="6"/>
  <c r="J194" i="6"/>
  <c r="J90" i="6"/>
  <c r="W149" i="6"/>
  <c r="J221" i="6"/>
  <c r="J239" i="6" s="1"/>
  <c r="M149" i="6"/>
  <c r="U225" i="6"/>
  <c r="U232" i="6"/>
  <c r="U223" i="6"/>
  <c r="U214" i="6"/>
  <c r="U206" i="6"/>
  <c r="U198" i="6"/>
  <c r="U194" i="6"/>
  <c r="U226" i="6"/>
  <c r="U218" i="6"/>
  <c r="U213" i="6"/>
  <c r="U209" i="6"/>
  <c r="U205" i="6"/>
  <c r="U197" i="6"/>
  <c r="U190" i="6"/>
  <c r="U186" i="6"/>
  <c r="U224" i="6"/>
  <c r="U217" i="6"/>
  <c r="U201" i="6"/>
  <c r="U196" i="6"/>
  <c r="U193" i="6"/>
  <c r="U189" i="6"/>
  <c r="U185" i="6"/>
  <c r="U212" i="6"/>
  <c r="U200" i="6"/>
  <c r="U195" i="6"/>
  <c r="U188" i="6"/>
  <c r="U208" i="6"/>
  <c r="U187" i="6"/>
  <c r="U230" i="6"/>
  <c r="U207" i="6"/>
  <c r="U192" i="6"/>
  <c r="U184" i="6"/>
  <c r="U191" i="6"/>
  <c r="U183" i="6"/>
  <c r="U204" i="6"/>
  <c r="U199" i="6"/>
  <c r="P122" i="6"/>
  <c r="M139" i="6"/>
  <c r="S228" i="6"/>
  <c r="S240" i="6" s="1"/>
  <c r="O88" i="6"/>
  <c r="T139" i="6"/>
  <c r="S210" i="6"/>
  <c r="S236" i="6" s="1"/>
  <c r="O149" i="6"/>
  <c r="U221" i="6"/>
  <c r="U239" i="6" s="1"/>
  <c r="T131" i="6"/>
  <c r="I149" i="6"/>
  <c r="K139" i="6"/>
  <c r="Q131" i="6"/>
  <c r="O122" i="6"/>
  <c r="S88" i="6"/>
  <c r="I274" i="6"/>
  <c r="I320" i="6" s="1"/>
  <c r="M56" i="6"/>
  <c r="I228" i="6"/>
  <c r="I240" i="6" s="1"/>
  <c r="I221" i="6"/>
  <c r="I239" i="6" s="1"/>
  <c r="F45" i="6"/>
  <c r="T122" i="6"/>
  <c r="L122" i="6"/>
  <c r="S202" i="6"/>
  <c r="I131" i="6"/>
  <c r="L163" i="6"/>
  <c r="K232" i="6"/>
  <c r="K226" i="6"/>
  <c r="K217" i="6"/>
  <c r="K212" i="6"/>
  <c r="K208" i="6"/>
  <c r="K204" i="6"/>
  <c r="K200" i="6"/>
  <c r="K196" i="6"/>
  <c r="K230" i="6"/>
  <c r="K225" i="6"/>
  <c r="K224" i="6"/>
  <c r="K207" i="6"/>
  <c r="K213" i="6"/>
  <c r="K206" i="6"/>
  <c r="K197" i="6"/>
  <c r="K192" i="6"/>
  <c r="K188" i="6"/>
  <c r="K184" i="6"/>
  <c r="K205" i="6"/>
  <c r="K201" i="6"/>
  <c r="K195" i="6"/>
  <c r="K191" i="6"/>
  <c r="K187" i="6"/>
  <c r="K183" i="6"/>
  <c r="K209" i="6"/>
  <c r="K190" i="6"/>
  <c r="K218" i="6"/>
  <c r="K198" i="6"/>
  <c r="K189" i="6"/>
  <c r="K223" i="6"/>
  <c r="K214" i="6"/>
  <c r="K199" i="6"/>
  <c r="K194" i="6"/>
  <c r="K186" i="6"/>
  <c r="K193" i="6"/>
  <c r="K185" i="6"/>
  <c r="K228" i="6"/>
  <c r="K240" i="6" s="1"/>
  <c r="S221" i="6"/>
  <c r="S239" i="6" s="1"/>
  <c r="N279" i="6"/>
  <c r="N325" i="6" s="1"/>
  <c r="W88" i="6"/>
  <c r="M163" i="6"/>
  <c r="X149" i="6"/>
  <c r="V139" i="6"/>
  <c r="N139" i="6"/>
  <c r="N131" i="6"/>
  <c r="J215" i="6"/>
  <c r="J237" i="6" s="1"/>
  <c r="N202" i="6"/>
  <c r="W221" i="6"/>
  <c r="W239" i="6" s="1"/>
  <c r="Q215" i="6"/>
  <c r="Q237" i="6" s="1"/>
  <c r="L139" i="6"/>
  <c r="S163" i="6"/>
  <c r="N149" i="6"/>
  <c r="R232" i="6"/>
  <c r="R230" i="6"/>
  <c r="R225" i="6"/>
  <c r="R218" i="6"/>
  <c r="R213" i="6"/>
  <c r="R209" i="6"/>
  <c r="R205" i="6"/>
  <c r="R201" i="6"/>
  <c r="R197" i="6"/>
  <c r="R217" i="6"/>
  <c r="R212" i="6"/>
  <c r="R208" i="6"/>
  <c r="R214" i="6"/>
  <c r="R207" i="6"/>
  <c r="R204" i="6"/>
  <c r="R200" i="6"/>
  <c r="R195" i="6"/>
  <c r="R193" i="6"/>
  <c r="R189" i="6"/>
  <c r="R185" i="6"/>
  <c r="R226" i="6"/>
  <c r="R206" i="6"/>
  <c r="R199" i="6"/>
  <c r="R194" i="6"/>
  <c r="R192" i="6"/>
  <c r="R188" i="6"/>
  <c r="R184" i="6"/>
  <c r="R224" i="6"/>
  <c r="R191" i="6"/>
  <c r="R183" i="6"/>
  <c r="R223" i="6"/>
  <c r="R190" i="6"/>
  <c r="R198" i="6"/>
  <c r="R187" i="6"/>
  <c r="R219" i="6"/>
  <c r="R238" i="6" s="1"/>
  <c r="R90" i="6"/>
  <c r="R196" i="6"/>
  <c r="R186" i="6"/>
  <c r="J228" i="6"/>
  <c r="J240" i="6" s="1"/>
  <c r="R221" i="6"/>
  <c r="R239" i="6" s="1"/>
  <c r="N221" i="6"/>
  <c r="N239" i="6" s="1"/>
  <c r="X230" i="6"/>
  <c r="X226" i="6"/>
  <c r="X224" i="6"/>
  <c r="X207" i="6"/>
  <c r="X199" i="6"/>
  <c r="X195" i="6"/>
  <c r="X223" i="6"/>
  <c r="X206" i="6"/>
  <c r="X217" i="6"/>
  <c r="X209" i="6"/>
  <c r="X204" i="6"/>
  <c r="X200" i="6"/>
  <c r="X194" i="6"/>
  <c r="X191" i="6"/>
  <c r="X187" i="6"/>
  <c r="X183" i="6"/>
  <c r="X225" i="6"/>
  <c r="X208" i="6"/>
  <c r="X198" i="6"/>
  <c r="X190" i="6"/>
  <c r="X186" i="6"/>
  <c r="X193" i="6"/>
  <c r="X185" i="6"/>
  <c r="X205" i="6"/>
  <c r="X201" i="6"/>
  <c r="X196" i="6"/>
  <c r="X192" i="6"/>
  <c r="X184" i="6"/>
  <c r="X232" i="6"/>
  <c r="X218" i="6"/>
  <c r="X197" i="6"/>
  <c r="X189" i="6"/>
  <c r="X188" i="6"/>
  <c r="X131" i="6"/>
  <c r="F114" i="6"/>
  <c r="K114" i="6"/>
  <c r="I114" i="6"/>
  <c r="O114" i="6"/>
  <c r="G25" i="6"/>
  <c r="G56" i="6" s="1"/>
  <c r="T88" i="6"/>
  <c r="F127" i="6"/>
  <c r="O127" i="6"/>
  <c r="J127" i="6"/>
  <c r="N127" i="6"/>
  <c r="S127" i="6"/>
  <c r="I127" i="6"/>
  <c r="H39" i="6"/>
  <c r="Q210" i="6"/>
  <c r="Q236" i="6" s="1"/>
  <c r="I210" i="6"/>
  <c r="I236" i="6" s="1"/>
  <c r="X215" i="6"/>
  <c r="X237" i="6" s="1"/>
  <c r="G24" i="3"/>
  <c r="H24" i="3" s="1"/>
  <c r="E27" i="3"/>
  <c r="E28" i="3"/>
  <c r="E29" i="3" s="1"/>
  <c r="E30" i="3" s="1"/>
  <c r="E31" i="3" s="1"/>
  <c r="E32" i="3" s="1"/>
  <c r="E26" i="3"/>
  <c r="H5" i="4"/>
  <c r="H4" i="4"/>
  <c r="E13" i="4"/>
  <c r="E14" i="4" s="1"/>
  <c r="E6" i="4"/>
  <c r="E8" i="4" s="1"/>
  <c r="H24" i="4"/>
  <c r="M24" i="4" s="1"/>
  <c r="H25" i="4"/>
  <c r="M25" i="4" s="1"/>
  <c r="H26" i="4"/>
  <c r="M26" i="4" s="1"/>
  <c r="H27" i="4"/>
  <c r="M27" i="4" s="1"/>
  <c r="H28" i="4"/>
  <c r="M28" i="4" s="1"/>
  <c r="H29" i="4"/>
  <c r="M29" i="4" s="1"/>
  <c r="H30" i="4"/>
  <c r="M30" i="4" s="1"/>
  <c r="H31" i="4"/>
  <c r="M31" i="4" s="1"/>
  <c r="H32" i="4"/>
  <c r="M32" i="4" s="1"/>
  <c r="H33" i="4"/>
  <c r="M33" i="4" s="1"/>
  <c r="H34" i="4"/>
  <c r="M34" i="4" s="1"/>
  <c r="H23" i="4"/>
  <c r="M23" i="4" s="1"/>
  <c r="D13" i="4"/>
  <c r="F88" i="6" l="1"/>
  <c r="J278" i="6"/>
  <c r="J324" i="6" s="1"/>
  <c r="L282" i="6"/>
  <c r="L328" i="6" s="1"/>
  <c r="G73" i="8"/>
  <c r="H76" i="6"/>
  <c r="U90" i="6"/>
  <c r="J285" i="6"/>
  <c r="J331" i="6" s="1"/>
  <c r="R278" i="6"/>
  <c r="R324" i="6" s="1"/>
  <c r="K282" i="6"/>
  <c r="K328" i="6" s="1"/>
  <c r="K308" i="6"/>
  <c r="J281" i="6"/>
  <c r="J327" i="6" s="1"/>
  <c r="J303" i="6"/>
  <c r="K279" i="6"/>
  <c r="K325" i="6" s="1"/>
  <c r="K299" i="6"/>
  <c r="L281" i="6"/>
  <c r="L327" i="6" s="1"/>
  <c r="L303" i="6"/>
  <c r="N281" i="6"/>
  <c r="N327" i="6" s="1"/>
  <c r="N303" i="6"/>
  <c r="Q284" i="6"/>
  <c r="Q330" i="6" s="1"/>
  <c r="Q312" i="6"/>
  <c r="R284" i="6"/>
  <c r="R330" i="6" s="1"/>
  <c r="R312" i="6"/>
  <c r="U279" i="6"/>
  <c r="U325" i="6" s="1"/>
  <c r="U299" i="6"/>
  <c r="V279" i="6"/>
  <c r="V325" i="6" s="1"/>
  <c r="V299" i="6"/>
  <c r="V282" i="6"/>
  <c r="V328" i="6" s="1"/>
  <c r="V308" i="6"/>
  <c r="X278" i="6"/>
  <c r="X324" i="6" s="1"/>
  <c r="X293" i="6"/>
  <c r="X280" i="6"/>
  <c r="X301" i="6"/>
  <c r="Q281" i="6"/>
  <c r="Q327" i="6" s="1"/>
  <c r="Q303" i="6"/>
  <c r="V285" i="6"/>
  <c r="V331" i="6" s="1"/>
  <c r="V314" i="6"/>
  <c r="X282" i="6"/>
  <c r="X328" i="6" s="1"/>
  <c r="X308" i="6"/>
  <c r="Q280" i="6"/>
  <c r="N282" i="6"/>
  <c r="N328" i="6" s="1"/>
  <c r="N308" i="6"/>
  <c r="K280" i="6"/>
  <c r="K301" i="6"/>
  <c r="L284" i="6"/>
  <c r="L330" i="6" s="1"/>
  <c r="L312" i="6"/>
  <c r="N280" i="6"/>
  <c r="N301" i="6"/>
  <c r="Q279" i="6"/>
  <c r="Q325" i="6" s="1"/>
  <c r="Q299" i="6"/>
  <c r="R282" i="6"/>
  <c r="R328" i="6" s="1"/>
  <c r="R308" i="6"/>
  <c r="R286" i="6"/>
  <c r="R332" i="6" s="1"/>
  <c r="R318" i="6"/>
  <c r="R283" i="6"/>
  <c r="R329" i="6" s="1"/>
  <c r="R310" i="6"/>
  <c r="R281" i="6"/>
  <c r="R327" i="6" s="1"/>
  <c r="R303" i="6"/>
  <c r="U278" i="6"/>
  <c r="U324" i="6" s="1"/>
  <c r="U293" i="6"/>
  <c r="U284" i="6"/>
  <c r="U330" i="6" s="1"/>
  <c r="U312" i="6"/>
  <c r="U280" i="6"/>
  <c r="U301" i="6"/>
  <c r="V278" i="6"/>
  <c r="V324" i="6" s="1"/>
  <c r="V293" i="6"/>
  <c r="V283" i="6"/>
  <c r="V329" i="6" s="1"/>
  <c r="V310" i="6"/>
  <c r="V280" i="6"/>
  <c r="V301" i="6"/>
  <c r="X286" i="6"/>
  <c r="X332" i="6" s="1"/>
  <c r="X318" i="6"/>
  <c r="X285" i="6"/>
  <c r="X331" i="6" s="1"/>
  <c r="X314" i="6"/>
  <c r="U282" i="6"/>
  <c r="U328" i="6" s="1"/>
  <c r="U308" i="6"/>
  <c r="J280" i="6"/>
  <c r="J301" i="6"/>
  <c r="K281" i="6"/>
  <c r="K327" i="6" s="1"/>
  <c r="K303" i="6"/>
  <c r="N286" i="6"/>
  <c r="N332" i="6" s="1"/>
  <c r="N318" i="6"/>
  <c r="X283" i="6"/>
  <c r="X329" i="6" s="1"/>
  <c r="X310" i="6"/>
  <c r="U286" i="6"/>
  <c r="U332" i="6" s="1"/>
  <c r="U318" i="6"/>
  <c r="J282" i="6"/>
  <c r="J328" i="6" s="1"/>
  <c r="J308" i="6"/>
  <c r="K286" i="6"/>
  <c r="K332" i="6" s="1"/>
  <c r="K318" i="6"/>
  <c r="N284" i="6"/>
  <c r="N330" i="6" s="1"/>
  <c r="N312" i="6"/>
  <c r="Q278" i="6"/>
  <c r="Q324" i="6" s="1"/>
  <c r="Q293" i="6"/>
  <c r="Q283" i="6"/>
  <c r="Q329" i="6" s="1"/>
  <c r="Q310" i="6"/>
  <c r="R279" i="6"/>
  <c r="R325" i="6" s="1"/>
  <c r="R299" i="6"/>
  <c r="R280" i="6"/>
  <c r="R301" i="6"/>
  <c r="U285" i="6"/>
  <c r="U331" i="6" s="1"/>
  <c r="U314" i="6"/>
  <c r="V284" i="6"/>
  <c r="V330" i="6" s="1"/>
  <c r="V312" i="6"/>
  <c r="J286" i="6"/>
  <c r="J332" i="6" s="1"/>
  <c r="Q286" i="6"/>
  <c r="Q332" i="6" s="1"/>
  <c r="Q318" i="6"/>
  <c r="J279" i="6"/>
  <c r="J325" i="6" s="1"/>
  <c r="J299" i="6"/>
  <c r="J283" i="6"/>
  <c r="J329" i="6" s="1"/>
  <c r="J310" i="6"/>
  <c r="J284" i="6"/>
  <c r="J330" i="6" s="1"/>
  <c r="J312" i="6"/>
  <c r="K278" i="6"/>
  <c r="K324" i="6" s="1"/>
  <c r="K293" i="6"/>
  <c r="K283" i="6"/>
  <c r="K329" i="6" s="1"/>
  <c r="K310" i="6"/>
  <c r="K285" i="6"/>
  <c r="K331" i="6" s="1"/>
  <c r="K314" i="6"/>
  <c r="L278" i="6"/>
  <c r="L324" i="6" s="1"/>
  <c r="L293" i="6"/>
  <c r="N278" i="6"/>
  <c r="N324" i="6" s="1"/>
  <c r="N293" i="6"/>
  <c r="N283" i="6"/>
  <c r="N329" i="6" s="1"/>
  <c r="N310" i="6"/>
  <c r="Q282" i="6"/>
  <c r="Q328" i="6" s="1"/>
  <c r="Q308" i="6"/>
  <c r="Q285" i="6"/>
  <c r="Q331" i="6" s="1"/>
  <c r="Q314" i="6"/>
  <c r="R285" i="6"/>
  <c r="R331" i="6" s="1"/>
  <c r="R314" i="6"/>
  <c r="U283" i="6"/>
  <c r="U329" i="6" s="1"/>
  <c r="U310" i="6"/>
  <c r="U281" i="6"/>
  <c r="U327" i="6" s="1"/>
  <c r="U303" i="6"/>
  <c r="V286" i="6"/>
  <c r="V332" i="6" s="1"/>
  <c r="V318" i="6"/>
  <c r="V281" i="6"/>
  <c r="V327" i="6" s="1"/>
  <c r="V303" i="6"/>
  <c r="X279" i="6"/>
  <c r="X325" i="6" s="1"/>
  <c r="X299" i="6"/>
  <c r="X284" i="6"/>
  <c r="X330" i="6" s="1"/>
  <c r="X312" i="6"/>
  <c r="F49" i="8"/>
  <c r="H52" i="7"/>
  <c r="K48" i="8"/>
  <c r="K23" i="8"/>
  <c r="K36" i="8"/>
  <c r="P194" i="6"/>
  <c r="T221" i="6"/>
  <c r="T239" i="6" s="1"/>
  <c r="T252" i="6"/>
  <c r="T298" i="6" s="1"/>
  <c r="T257" i="6"/>
  <c r="T264" i="6"/>
  <c r="T259" i="6"/>
  <c r="T305" i="6" s="1"/>
  <c r="T246" i="6"/>
  <c r="T292" i="6" s="1"/>
  <c r="T251" i="6"/>
  <c r="T297" i="6" s="1"/>
  <c r="T255" i="6"/>
  <c r="T266" i="6"/>
  <c r="T244" i="6"/>
  <c r="T290" i="6" s="1"/>
  <c r="T270" i="6"/>
  <c r="T316" i="6" s="1"/>
  <c r="T245" i="6"/>
  <c r="T291" i="6" s="1"/>
  <c r="T250" i="6"/>
  <c r="T296" i="6" s="1"/>
  <c r="T260" i="6"/>
  <c r="T306" i="6" s="1"/>
  <c r="T268" i="6"/>
  <c r="T249" i="6"/>
  <c r="T295" i="6" s="1"/>
  <c r="T271" i="6"/>
  <c r="T317" i="6" s="1"/>
  <c r="T261" i="6"/>
  <c r="T307" i="6" s="1"/>
  <c r="T253" i="6"/>
  <c r="T247" i="6"/>
  <c r="T262" i="6"/>
  <c r="T272" i="6"/>
  <c r="P219" i="6"/>
  <c r="P238" i="6" s="1"/>
  <c r="P252" i="6"/>
  <c r="P298" i="6" s="1"/>
  <c r="P257" i="6"/>
  <c r="P264" i="6"/>
  <c r="P250" i="6"/>
  <c r="P296" i="6" s="1"/>
  <c r="P260" i="6"/>
  <c r="P306" i="6" s="1"/>
  <c r="P244" i="6"/>
  <c r="P290" i="6" s="1"/>
  <c r="P259" i="6"/>
  <c r="P305" i="6" s="1"/>
  <c r="P246" i="6"/>
  <c r="P292" i="6" s="1"/>
  <c r="P251" i="6"/>
  <c r="P297" i="6" s="1"/>
  <c r="P255" i="6"/>
  <c r="P266" i="6"/>
  <c r="P245" i="6"/>
  <c r="P291" i="6" s="1"/>
  <c r="P268" i="6"/>
  <c r="P249" i="6"/>
  <c r="P295" i="6" s="1"/>
  <c r="P270" i="6"/>
  <c r="P316" i="6" s="1"/>
  <c r="P271" i="6"/>
  <c r="P317" i="6" s="1"/>
  <c r="P261" i="6"/>
  <c r="P307" i="6" s="1"/>
  <c r="P253" i="6"/>
  <c r="P247" i="6"/>
  <c r="P262" i="6"/>
  <c r="M268" i="6"/>
  <c r="M246" i="6"/>
  <c r="M292" i="6" s="1"/>
  <c r="M245" i="6"/>
  <c r="M291" i="6" s="1"/>
  <c r="M244" i="6"/>
  <c r="M290" i="6" s="1"/>
  <c r="M252" i="6"/>
  <c r="M298" i="6" s="1"/>
  <c r="M251" i="6"/>
  <c r="M297" i="6" s="1"/>
  <c r="M250" i="6"/>
  <c r="M296" i="6" s="1"/>
  <c r="M249" i="6"/>
  <c r="M295" i="6" s="1"/>
  <c r="M257" i="6"/>
  <c r="M255" i="6"/>
  <c r="M260" i="6"/>
  <c r="M306" i="6" s="1"/>
  <c r="M259" i="6"/>
  <c r="M305" i="6" s="1"/>
  <c r="M264" i="6"/>
  <c r="M266" i="6"/>
  <c r="M270" i="6"/>
  <c r="M316" i="6" s="1"/>
  <c r="M261" i="6"/>
  <c r="M307" i="6" s="1"/>
  <c r="M271" i="6"/>
  <c r="M317" i="6" s="1"/>
  <c r="M247" i="6"/>
  <c r="M253" i="6"/>
  <c r="M274" i="6"/>
  <c r="M320" i="6" s="1"/>
  <c r="M272" i="6"/>
  <c r="M262" i="6"/>
  <c r="I174" i="6"/>
  <c r="O174" i="6"/>
  <c r="F174" i="6"/>
  <c r="N174" i="6"/>
  <c r="V174" i="6"/>
  <c r="M174" i="6"/>
  <c r="X174" i="6"/>
  <c r="K174" i="6"/>
  <c r="T174" i="6"/>
  <c r="H86" i="6"/>
  <c r="Q174" i="6"/>
  <c r="P174" i="6"/>
  <c r="L174" i="6"/>
  <c r="U174" i="6"/>
  <c r="V90" i="6"/>
  <c r="G76" i="6"/>
  <c r="G88" i="6" s="1"/>
  <c r="G90" i="6" s="1"/>
  <c r="M164" i="6"/>
  <c r="O164" i="6"/>
  <c r="U164" i="6"/>
  <c r="K90" i="6"/>
  <c r="P164" i="6"/>
  <c r="W164" i="6"/>
  <c r="I164" i="6"/>
  <c r="R164" i="6"/>
  <c r="Q164" i="6"/>
  <c r="T164" i="6"/>
  <c r="J164" i="6"/>
  <c r="L164" i="6"/>
  <c r="V164" i="6"/>
  <c r="S164" i="6"/>
  <c r="K164" i="6"/>
  <c r="F164" i="6"/>
  <c r="X90" i="6"/>
  <c r="X164" i="6"/>
  <c r="N164" i="6"/>
  <c r="N90" i="6"/>
  <c r="N155" i="6"/>
  <c r="K155" i="6"/>
  <c r="M155" i="6"/>
  <c r="F155" i="6"/>
  <c r="I155" i="6"/>
  <c r="W90" i="6"/>
  <c r="W274" i="6"/>
  <c r="W320" i="6" s="1"/>
  <c r="S282" i="6"/>
  <c r="S328" i="6" s="1"/>
  <c r="S274" i="6"/>
  <c r="S320" i="6" s="1"/>
  <c r="T274" i="6"/>
  <c r="T320" i="6" s="1"/>
  <c r="F85" i="9"/>
  <c r="P274" i="6"/>
  <c r="P320" i="6" s="1"/>
  <c r="O282" i="6"/>
  <c r="O328" i="6" s="1"/>
  <c r="O274" i="6"/>
  <c r="O320" i="6" s="1"/>
  <c r="P188" i="6"/>
  <c r="P197" i="6"/>
  <c r="F53" i="9"/>
  <c r="P232" i="6"/>
  <c r="P198" i="6"/>
  <c r="P186" i="6"/>
  <c r="P209" i="6"/>
  <c r="P226" i="6"/>
  <c r="P215" i="6"/>
  <c r="P237" i="6" s="1"/>
  <c r="P192" i="6"/>
  <c r="P208" i="6"/>
  <c r="P223" i="6"/>
  <c r="P204" i="6"/>
  <c r="P213" i="6"/>
  <c r="P195" i="6"/>
  <c r="H45" i="6"/>
  <c r="G83" i="8"/>
  <c r="W174" i="6"/>
  <c r="J174" i="6"/>
  <c r="S174" i="6"/>
  <c r="L283" i="6"/>
  <c r="L329" i="6" s="1"/>
  <c r="L279" i="6"/>
  <c r="L325" i="6" s="1"/>
  <c r="L285" i="6"/>
  <c r="L331" i="6" s="1"/>
  <c r="L90" i="6"/>
  <c r="L280" i="6"/>
  <c r="P189" i="6"/>
  <c r="P185" i="6"/>
  <c r="P190" i="6"/>
  <c r="P183" i="6"/>
  <c r="P206" i="6"/>
  <c r="P199" i="6"/>
  <c r="P230" i="6"/>
  <c r="P202" i="6"/>
  <c r="P184" i="6"/>
  <c r="P193" i="6"/>
  <c r="P196" i="6"/>
  <c r="P191" i="6"/>
  <c r="P214" i="6"/>
  <c r="P207" i="6"/>
  <c r="P228" i="6"/>
  <c r="P240" i="6" s="1"/>
  <c r="P210" i="6"/>
  <c r="P236" i="6" s="1"/>
  <c r="P227" i="6"/>
  <c r="P205" i="6"/>
  <c r="P200" i="6"/>
  <c r="P212" i="6"/>
  <c r="P218" i="6"/>
  <c r="P201" i="6"/>
  <c r="P187" i="6"/>
  <c r="P217" i="6"/>
  <c r="P225" i="6"/>
  <c r="P224" i="6"/>
  <c r="P221" i="6"/>
  <c r="P239" i="6" s="1"/>
  <c r="G64" i="8"/>
  <c r="S155" i="6"/>
  <c r="O155" i="6"/>
  <c r="L155" i="6"/>
  <c r="R155" i="6"/>
  <c r="U155" i="6"/>
  <c r="V155" i="6"/>
  <c r="J155" i="6"/>
  <c r="P155" i="6"/>
  <c r="W282" i="6"/>
  <c r="W328" i="6" s="1"/>
  <c r="H67" i="6"/>
  <c r="V176" i="6"/>
  <c r="X155" i="6"/>
  <c r="W155" i="6"/>
  <c r="T155" i="6"/>
  <c r="P90" i="6"/>
  <c r="F87" i="9" s="1"/>
  <c r="I140" i="6"/>
  <c r="G49" i="8"/>
  <c r="L133" i="6"/>
  <c r="G42" i="8"/>
  <c r="T228" i="6"/>
  <c r="T240" i="6" s="1"/>
  <c r="J144" i="6"/>
  <c r="G53" i="8"/>
  <c r="F88" i="7"/>
  <c r="H88" i="7" s="1"/>
  <c r="F64" i="8"/>
  <c r="F56" i="7"/>
  <c r="R144" i="6"/>
  <c r="M225" i="6"/>
  <c r="M230" i="6"/>
  <c r="M223" i="6"/>
  <c r="M214" i="6"/>
  <c r="M206" i="6"/>
  <c r="M198" i="6"/>
  <c r="M194" i="6"/>
  <c r="M218" i="6"/>
  <c r="M213" i="6"/>
  <c r="M209" i="6"/>
  <c r="M205" i="6"/>
  <c r="M204" i="6"/>
  <c r="M200" i="6"/>
  <c r="M195" i="6"/>
  <c r="M190" i="6"/>
  <c r="M186" i="6"/>
  <c r="M224" i="6"/>
  <c r="M217" i="6"/>
  <c r="M199" i="6"/>
  <c r="M193" i="6"/>
  <c r="M189" i="6"/>
  <c r="M185" i="6"/>
  <c r="M232" i="6"/>
  <c r="M207" i="6"/>
  <c r="M188" i="6"/>
  <c r="M201" i="6"/>
  <c r="M196" i="6"/>
  <c r="M187" i="6"/>
  <c r="M212" i="6"/>
  <c r="M197" i="6"/>
  <c r="M192" i="6"/>
  <c r="M184" i="6"/>
  <c r="M226" i="6"/>
  <c r="M191" i="6"/>
  <c r="M208" i="6"/>
  <c r="M183" i="6"/>
  <c r="M144" i="6"/>
  <c r="M90" i="6"/>
  <c r="M215" i="6"/>
  <c r="M237" i="6" s="1"/>
  <c r="M210" i="6"/>
  <c r="M236" i="6" s="1"/>
  <c r="M219" i="6"/>
  <c r="M238" i="6" s="1"/>
  <c r="M202" i="6"/>
  <c r="M227" i="6"/>
  <c r="M133" i="6"/>
  <c r="Q144" i="6"/>
  <c r="X144" i="6"/>
  <c r="I284" i="6"/>
  <c r="I330" i="6" s="1"/>
  <c r="I280" i="6"/>
  <c r="I281" i="6"/>
  <c r="I327" i="6" s="1"/>
  <c r="I285" i="6"/>
  <c r="I331" i="6" s="1"/>
  <c r="I283" i="6"/>
  <c r="I329" i="6" s="1"/>
  <c r="I279" i="6"/>
  <c r="I325" i="6" s="1"/>
  <c r="I282" i="6"/>
  <c r="I328" i="6" s="1"/>
  <c r="I278" i="6"/>
  <c r="I324" i="6" s="1"/>
  <c r="W144" i="6"/>
  <c r="U140" i="6"/>
  <c r="I144" i="6"/>
  <c r="K144" i="6"/>
  <c r="P144" i="6"/>
  <c r="P286" i="6"/>
  <c r="P332" i="6" s="1"/>
  <c r="T230" i="6"/>
  <c r="T226" i="6"/>
  <c r="T224" i="6"/>
  <c r="T207" i="6"/>
  <c r="T199" i="6"/>
  <c r="T195" i="6"/>
  <c r="T232" i="6"/>
  <c r="T223" i="6"/>
  <c r="T214" i="6"/>
  <c r="T206" i="6"/>
  <c r="T212" i="6"/>
  <c r="T205" i="6"/>
  <c r="T198" i="6"/>
  <c r="T191" i="6"/>
  <c r="T187" i="6"/>
  <c r="T183" i="6"/>
  <c r="T218" i="6"/>
  <c r="T197" i="6"/>
  <c r="T190" i="6"/>
  <c r="T186" i="6"/>
  <c r="T225" i="6"/>
  <c r="T213" i="6"/>
  <c r="T204" i="6"/>
  <c r="T189" i="6"/>
  <c r="T209" i="6"/>
  <c r="T200" i="6"/>
  <c r="T188" i="6"/>
  <c r="T208" i="6"/>
  <c r="T201" i="6"/>
  <c r="T196" i="6"/>
  <c r="T193" i="6"/>
  <c r="T185" i="6"/>
  <c r="T90" i="6"/>
  <c r="T184" i="6"/>
  <c r="T217" i="6"/>
  <c r="T194" i="6"/>
  <c r="T192" i="6"/>
  <c r="T144" i="6"/>
  <c r="T215" i="6"/>
  <c r="T237" i="6" s="1"/>
  <c r="T210" i="6"/>
  <c r="T236" i="6" s="1"/>
  <c r="T219" i="6"/>
  <c r="T238" i="6" s="1"/>
  <c r="T202" i="6"/>
  <c r="T227" i="6"/>
  <c r="M228" i="6"/>
  <c r="M240" i="6" s="1"/>
  <c r="Q133" i="6"/>
  <c r="I90" i="6"/>
  <c r="F144" i="6"/>
  <c r="H56" i="6"/>
  <c r="F133" i="6"/>
  <c r="K133" i="6"/>
  <c r="J133" i="6"/>
  <c r="S133" i="6"/>
  <c r="V133" i="6"/>
  <c r="U133" i="6"/>
  <c r="N133" i="6"/>
  <c r="R133" i="6"/>
  <c r="W133" i="6"/>
  <c r="O133" i="6"/>
  <c r="V144" i="6"/>
  <c r="L144" i="6"/>
  <c r="F140" i="6"/>
  <c r="H52" i="6"/>
  <c r="O140" i="6"/>
  <c r="X140" i="6"/>
  <c r="R140" i="6"/>
  <c r="S140" i="6"/>
  <c r="L140" i="6"/>
  <c r="K140" i="6"/>
  <c r="W140" i="6"/>
  <c r="J140" i="6"/>
  <c r="V140" i="6"/>
  <c r="Q140" i="6"/>
  <c r="N140" i="6"/>
  <c r="W285" i="6"/>
  <c r="W331" i="6" s="1"/>
  <c r="W283" i="6"/>
  <c r="W329" i="6" s="1"/>
  <c r="W281" i="6"/>
  <c r="W327" i="6" s="1"/>
  <c r="W284" i="6"/>
  <c r="W330" i="6" s="1"/>
  <c r="W280" i="6"/>
  <c r="W278" i="6"/>
  <c r="W324" i="6" s="1"/>
  <c r="W286" i="6"/>
  <c r="W332" i="6" s="1"/>
  <c r="W279" i="6"/>
  <c r="W325" i="6" s="1"/>
  <c r="S285" i="6"/>
  <c r="S331" i="6" s="1"/>
  <c r="S283" i="6"/>
  <c r="S329" i="6" s="1"/>
  <c r="S284" i="6"/>
  <c r="S330" i="6" s="1"/>
  <c r="S281" i="6"/>
  <c r="S327" i="6" s="1"/>
  <c r="S280" i="6"/>
  <c r="S278" i="6"/>
  <c r="S324" i="6" s="1"/>
  <c r="S286" i="6"/>
  <c r="S332" i="6" s="1"/>
  <c r="S279" i="6"/>
  <c r="S325" i="6" s="1"/>
  <c r="U144" i="6"/>
  <c r="P133" i="6"/>
  <c r="N144" i="6"/>
  <c r="O144" i="6"/>
  <c r="M140" i="6"/>
  <c r="X133" i="6"/>
  <c r="I133" i="6"/>
  <c r="T133" i="6"/>
  <c r="O285" i="6"/>
  <c r="O331" i="6" s="1"/>
  <c r="O283" i="6"/>
  <c r="O329" i="6" s="1"/>
  <c r="O281" i="6"/>
  <c r="O327" i="6" s="1"/>
  <c r="O284" i="6"/>
  <c r="O330" i="6" s="1"/>
  <c r="O280" i="6"/>
  <c r="O279" i="6"/>
  <c r="O325" i="6" s="1"/>
  <c r="O278" i="6"/>
  <c r="O324" i="6" s="1"/>
  <c r="I286" i="6"/>
  <c r="I332" i="6" s="1"/>
  <c r="P140" i="6"/>
  <c r="O286" i="6"/>
  <c r="O332" i="6" s="1"/>
  <c r="O90" i="6"/>
  <c r="M221" i="6"/>
  <c r="M239" i="6" s="1"/>
  <c r="T140" i="6"/>
  <c r="S144" i="6"/>
  <c r="S90" i="6"/>
  <c r="J24" i="3"/>
  <c r="K24" i="3" s="1"/>
  <c r="L24" i="3" s="1"/>
  <c r="M24" i="3" s="1"/>
  <c r="I24" i="3"/>
  <c r="E36" i="4"/>
  <c r="H6" i="4"/>
  <c r="H5" i="3"/>
  <c r="I5" i="3" s="1"/>
  <c r="H4" i="3"/>
  <c r="I4" i="3" s="1"/>
  <c r="J4" i="3" s="1"/>
  <c r="K4" i="3" s="1"/>
  <c r="L4" i="3" s="1"/>
  <c r="M4" i="3" s="1"/>
  <c r="N4" i="3" s="1"/>
  <c r="O4" i="3" s="1"/>
  <c r="P4" i="3" s="1"/>
  <c r="C220" i="1"/>
  <c r="C238" i="1" s="1"/>
  <c r="D141" i="1"/>
  <c r="C229" i="1" s="1"/>
  <c r="D95" i="1"/>
  <c r="C183" i="1" s="1"/>
  <c r="D96" i="1"/>
  <c r="C184" i="1" s="1"/>
  <c r="D97" i="1"/>
  <c r="C185" i="1" s="1"/>
  <c r="D98" i="1"/>
  <c r="C186" i="1" s="1"/>
  <c r="D99" i="1"/>
  <c r="C187" i="1" s="1"/>
  <c r="D100" i="1"/>
  <c r="C188" i="1" s="1"/>
  <c r="D101" i="1"/>
  <c r="C189" i="1" s="1"/>
  <c r="D102" i="1"/>
  <c r="C190" i="1" s="1"/>
  <c r="D103" i="1"/>
  <c r="C191" i="1" s="1"/>
  <c r="D104" i="1"/>
  <c r="C192" i="1" s="1"/>
  <c r="D105" i="1"/>
  <c r="C193" i="1" s="1"/>
  <c r="D106" i="1"/>
  <c r="C194" i="1" s="1"/>
  <c r="D107" i="1"/>
  <c r="C195" i="1" s="1"/>
  <c r="D108" i="1"/>
  <c r="C196" i="1" s="1"/>
  <c r="D109" i="1"/>
  <c r="C197" i="1" s="1"/>
  <c r="D110" i="1"/>
  <c r="C198" i="1" s="1"/>
  <c r="D111" i="1"/>
  <c r="C199" i="1" s="1"/>
  <c r="D112" i="1"/>
  <c r="C200" i="1" s="1"/>
  <c r="D113" i="1"/>
  <c r="C201" i="1" s="1"/>
  <c r="D115" i="1"/>
  <c r="C203" i="1" s="1"/>
  <c r="D116" i="1"/>
  <c r="C204" i="1" s="1"/>
  <c r="D117" i="1"/>
  <c r="C205" i="1" s="1"/>
  <c r="D118" i="1"/>
  <c r="C206" i="1" s="1"/>
  <c r="D119" i="1"/>
  <c r="C207" i="1" s="1"/>
  <c r="D120" i="1"/>
  <c r="C208" i="1" s="1"/>
  <c r="D121" i="1"/>
  <c r="C209" i="1" s="1"/>
  <c r="C235" i="1" s="1"/>
  <c r="D123" i="1"/>
  <c r="C211" i="1" s="1"/>
  <c r="D124" i="1"/>
  <c r="C212" i="1" s="1"/>
  <c r="D125" i="1"/>
  <c r="C213" i="1" s="1"/>
  <c r="D126" i="1"/>
  <c r="C214" i="1" s="1"/>
  <c r="C236" i="1" s="1"/>
  <c r="D128" i="1"/>
  <c r="C216" i="1" s="1"/>
  <c r="D129" i="1"/>
  <c r="C217" i="1" s="1"/>
  <c r="D130" i="1"/>
  <c r="C218" i="1" s="1"/>
  <c r="C237" i="1" s="1"/>
  <c r="D134" i="1"/>
  <c r="C222" i="1" s="1"/>
  <c r="D135" i="1"/>
  <c r="C223" i="1" s="1"/>
  <c r="D136" i="1"/>
  <c r="C224" i="1" s="1"/>
  <c r="D137" i="1"/>
  <c r="C225" i="1" s="1"/>
  <c r="D138" i="1"/>
  <c r="C226" i="1" s="1"/>
  <c r="D139" i="1"/>
  <c r="C227" i="1" s="1"/>
  <c r="C239" i="1" s="1"/>
  <c r="D143" i="1"/>
  <c r="C231" i="1" s="1"/>
  <c r="D145" i="1"/>
  <c r="C243" i="1" s="1"/>
  <c r="C289" i="1" s="1"/>
  <c r="D146" i="1"/>
  <c r="C244" i="1" s="1"/>
  <c r="C290" i="1" s="1"/>
  <c r="D147" i="1"/>
  <c r="C245" i="1" s="1"/>
  <c r="C291" i="1" s="1"/>
  <c r="D148" i="1"/>
  <c r="C246" i="1" s="1"/>
  <c r="D150" i="1"/>
  <c r="C248" i="1" s="1"/>
  <c r="C294" i="1" s="1"/>
  <c r="D151" i="1"/>
  <c r="C249" i="1" s="1"/>
  <c r="C295" i="1" s="1"/>
  <c r="D152" i="1"/>
  <c r="C250" i="1" s="1"/>
  <c r="C296" i="1" s="1"/>
  <c r="D153" i="1"/>
  <c r="C251" i="1" s="1"/>
  <c r="C297" i="1" s="1"/>
  <c r="D154" i="1"/>
  <c r="C252" i="1" s="1"/>
  <c r="D156" i="1"/>
  <c r="C254" i="1" s="1"/>
  <c r="D158" i="1"/>
  <c r="C256" i="1" s="1"/>
  <c r="D160" i="1"/>
  <c r="C258" i="1" s="1"/>
  <c r="C304" i="1" s="1"/>
  <c r="D161" i="1"/>
  <c r="C259" i="1" s="1"/>
  <c r="C305" i="1" s="1"/>
  <c r="D162" i="1"/>
  <c r="C260" i="1" s="1"/>
  <c r="C306" i="1" s="1"/>
  <c r="D163" i="1"/>
  <c r="C261" i="1" s="1"/>
  <c r="D165" i="1"/>
  <c r="C263" i="1" s="1"/>
  <c r="D167" i="1"/>
  <c r="C265" i="1" s="1"/>
  <c r="D169" i="1"/>
  <c r="C267" i="1" s="1"/>
  <c r="D171" i="1"/>
  <c r="C269" i="1" s="1"/>
  <c r="C315" i="1" s="1"/>
  <c r="D172" i="1"/>
  <c r="C270" i="1" s="1"/>
  <c r="C316" i="1" s="1"/>
  <c r="D173" i="1"/>
  <c r="C271" i="1" s="1"/>
  <c r="D175" i="1"/>
  <c r="C273" i="1" s="1"/>
  <c r="C319" i="1" s="1"/>
  <c r="D177" i="1"/>
  <c r="D94" i="1"/>
  <c r="C182" i="1" s="1"/>
  <c r="N104" i="2"/>
  <c r="N103" i="2"/>
  <c r="O103" i="2" s="1"/>
  <c r="P103" i="2" s="1"/>
  <c r="Q103" i="2" s="1"/>
  <c r="R103" i="2" s="1"/>
  <c r="S103" i="2" s="1"/>
  <c r="T103" i="2" s="1"/>
  <c r="U103" i="2" s="1"/>
  <c r="V103" i="2" s="1"/>
  <c r="I103" i="2"/>
  <c r="L103" i="2" s="1"/>
  <c r="I130" i="2"/>
  <c r="I112" i="2"/>
  <c r="H115" i="2"/>
  <c r="I114" i="2"/>
  <c r="L114" i="2" s="1"/>
  <c r="H114" i="2"/>
  <c r="I144" i="2"/>
  <c r="H144" i="2"/>
  <c r="I115" i="2"/>
  <c r="V113" i="2"/>
  <c r="U113" i="2"/>
  <c r="T113" i="2"/>
  <c r="S113" i="2"/>
  <c r="R113" i="2"/>
  <c r="Q113" i="2"/>
  <c r="P113" i="2"/>
  <c r="O113" i="2"/>
  <c r="N113" i="2"/>
  <c r="M113" i="2"/>
  <c r="I113" i="2"/>
  <c r="N101" i="2"/>
  <c r="B101" i="2"/>
  <c r="J6" i="2"/>
  <c r="K6" i="2"/>
  <c r="L143" i="2"/>
  <c r="M143" i="2" s="1"/>
  <c r="L142" i="2"/>
  <c r="L141" i="2"/>
  <c r="L137" i="2"/>
  <c r="L133" i="2"/>
  <c r="L132" i="2"/>
  <c r="L131" i="2"/>
  <c r="L126" i="2"/>
  <c r="L123" i="2"/>
  <c r="L122" i="2"/>
  <c r="L121" i="2"/>
  <c r="L120" i="2"/>
  <c r="L119" i="2"/>
  <c r="L118" i="2"/>
  <c r="L111" i="2"/>
  <c r="L110" i="2"/>
  <c r="L109" i="2"/>
  <c r="C53" i="2"/>
  <c r="C54" i="2"/>
  <c r="C55" i="2"/>
  <c r="C56" i="2"/>
  <c r="C57" i="2"/>
  <c r="C58" i="2"/>
  <c r="C59" i="2"/>
  <c r="C60" i="2"/>
  <c r="C52" i="2"/>
  <c r="L49" i="2"/>
  <c r="L74" i="2"/>
  <c r="L73" i="2"/>
  <c r="L50" i="2"/>
  <c r="I48" i="2"/>
  <c r="L48" i="2" s="1"/>
  <c r="I47" i="2"/>
  <c r="L47" i="2" s="1"/>
  <c r="I46" i="2"/>
  <c r="L17" i="2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C16" i="2"/>
  <c r="I13" i="2"/>
  <c r="L13" i="2" s="1"/>
  <c r="I14" i="2"/>
  <c r="L14" i="2" s="1"/>
  <c r="N14" i="2"/>
  <c r="O14" i="2" s="1"/>
  <c r="P14" i="2" s="1"/>
  <c r="Q14" i="2" s="1"/>
  <c r="R14" i="2" s="1"/>
  <c r="S14" i="2" s="1"/>
  <c r="T14" i="2" s="1"/>
  <c r="U14" i="2" s="1"/>
  <c r="V14" i="2" s="1"/>
  <c r="N13" i="2"/>
  <c r="O13" i="2" s="1"/>
  <c r="P13" i="2" s="1"/>
  <c r="Q13" i="2" s="1"/>
  <c r="R13" i="2" s="1"/>
  <c r="S13" i="2" s="1"/>
  <c r="T13" i="2" s="1"/>
  <c r="U13" i="2" s="1"/>
  <c r="V13" i="2" s="1"/>
  <c r="C13" i="2"/>
  <c r="C14" i="2"/>
  <c r="C15" i="2"/>
  <c r="I152" i="2"/>
  <c r="L152" i="2" s="1"/>
  <c r="L34" i="2"/>
  <c r="M34" i="2" s="1"/>
  <c r="L33" i="2"/>
  <c r="L32" i="2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L31" i="2"/>
  <c r="L28" i="2"/>
  <c r="L27" i="2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L26" i="2"/>
  <c r="L25" i="2"/>
  <c r="L24" i="2"/>
  <c r="M24" i="2" s="1"/>
  <c r="L23" i="2"/>
  <c r="L22" i="2"/>
  <c r="L21" i="2"/>
  <c r="E16" i="4" l="1"/>
  <c r="E17" i="4" s="1"/>
  <c r="E18" i="4" s="1"/>
  <c r="H9" i="3" s="1"/>
  <c r="C282" i="1"/>
  <c r="C328" i="1" s="1"/>
  <c r="C309" i="1"/>
  <c r="C277" i="1"/>
  <c r="C323" i="1" s="1"/>
  <c r="C292" i="1"/>
  <c r="C285" i="1"/>
  <c r="C331" i="1" s="1"/>
  <c r="C317" i="1"/>
  <c r="C278" i="1"/>
  <c r="C324" i="1" s="1"/>
  <c r="C298" i="1"/>
  <c r="C281" i="1"/>
  <c r="C327" i="1" s="1"/>
  <c r="C307" i="1"/>
  <c r="C280" i="1"/>
  <c r="C326" i="1" s="1"/>
  <c r="C302" i="1"/>
  <c r="C283" i="1"/>
  <c r="C329" i="1" s="1"/>
  <c r="C311" i="1"/>
  <c r="C284" i="1"/>
  <c r="C330" i="1" s="1"/>
  <c r="C313" i="1"/>
  <c r="C279" i="1"/>
  <c r="C325" i="1" s="1"/>
  <c r="C300" i="1"/>
  <c r="M282" i="6"/>
  <c r="M328" i="6" s="1"/>
  <c r="M308" i="6"/>
  <c r="M278" i="6"/>
  <c r="M324" i="6" s="1"/>
  <c r="M293" i="6"/>
  <c r="M280" i="6"/>
  <c r="M301" i="6"/>
  <c r="P279" i="6"/>
  <c r="P325" i="6" s="1"/>
  <c r="P299" i="6"/>
  <c r="P280" i="6"/>
  <c r="P301" i="6"/>
  <c r="P281" i="6"/>
  <c r="P327" i="6" s="1"/>
  <c r="P303" i="6"/>
  <c r="T282" i="6"/>
  <c r="T328" i="6" s="1"/>
  <c r="T308" i="6"/>
  <c r="T284" i="6"/>
  <c r="T330" i="6" s="1"/>
  <c r="T312" i="6"/>
  <c r="M286" i="6"/>
  <c r="M332" i="6" s="1"/>
  <c r="M318" i="6"/>
  <c r="M283" i="6"/>
  <c r="M329" i="6" s="1"/>
  <c r="M310" i="6"/>
  <c r="M285" i="6"/>
  <c r="M331" i="6" s="1"/>
  <c r="M314" i="6"/>
  <c r="P285" i="6"/>
  <c r="P331" i="6" s="1"/>
  <c r="P314" i="6"/>
  <c r="T278" i="6"/>
  <c r="T324" i="6" s="1"/>
  <c r="T293" i="6"/>
  <c r="T280" i="6"/>
  <c r="T301" i="6"/>
  <c r="T283" i="6"/>
  <c r="T329" i="6" s="1"/>
  <c r="T310" i="6"/>
  <c r="I87" i="9"/>
  <c r="P282" i="6"/>
  <c r="P328" i="6" s="1"/>
  <c r="P308" i="6"/>
  <c r="T279" i="6"/>
  <c r="T325" i="6" s="1"/>
  <c r="T299" i="6"/>
  <c r="T285" i="6"/>
  <c r="T331" i="6" s="1"/>
  <c r="T314" i="6"/>
  <c r="T281" i="6"/>
  <c r="T327" i="6" s="1"/>
  <c r="T303" i="6"/>
  <c r="M284" i="6"/>
  <c r="M330" i="6" s="1"/>
  <c r="M312" i="6"/>
  <c r="M281" i="6"/>
  <c r="M327" i="6" s="1"/>
  <c r="M303" i="6"/>
  <c r="M279" i="6"/>
  <c r="M325" i="6" s="1"/>
  <c r="M299" i="6"/>
  <c r="P278" i="6"/>
  <c r="P324" i="6" s="1"/>
  <c r="P293" i="6"/>
  <c r="P284" i="6"/>
  <c r="P330" i="6" s="1"/>
  <c r="P312" i="6"/>
  <c r="P283" i="6"/>
  <c r="P329" i="6" s="1"/>
  <c r="P310" i="6"/>
  <c r="T286" i="6"/>
  <c r="T332" i="6" s="1"/>
  <c r="T318" i="6"/>
  <c r="H56" i="7"/>
  <c r="N143" i="2"/>
  <c r="M33" i="2"/>
  <c r="L46" i="2"/>
  <c r="M46" i="2"/>
  <c r="M50" i="2"/>
  <c r="N50" i="2" s="1"/>
  <c r="O50" i="2" s="1"/>
  <c r="P50" i="2" s="1"/>
  <c r="Q50" i="2" s="1"/>
  <c r="R50" i="2" s="1"/>
  <c r="S50" i="2" s="1"/>
  <c r="T50" i="2" s="1"/>
  <c r="U50" i="2" s="1"/>
  <c r="V50" i="2" s="1"/>
  <c r="M47" i="2"/>
  <c r="N47" i="2" s="1"/>
  <c r="O47" i="2" s="1"/>
  <c r="P47" i="2" s="1"/>
  <c r="Q47" i="2" s="1"/>
  <c r="R47" i="2" s="1"/>
  <c r="S47" i="2" s="1"/>
  <c r="T47" i="2" s="1"/>
  <c r="U47" i="2" s="1"/>
  <c r="V47" i="2" s="1"/>
  <c r="N34" i="2"/>
  <c r="N141" i="2" s="1"/>
  <c r="M25" i="2"/>
  <c r="N25" i="2" s="1"/>
  <c r="M48" i="2"/>
  <c r="N48" i="2" s="1"/>
  <c r="O48" i="2" s="1"/>
  <c r="P48" i="2" s="1"/>
  <c r="Q48" i="2" s="1"/>
  <c r="R48" i="2" s="1"/>
  <c r="S48" i="2" s="1"/>
  <c r="T48" i="2" s="1"/>
  <c r="U48" i="2" s="1"/>
  <c r="V48" i="2" s="1"/>
  <c r="M49" i="2"/>
  <c r="N49" i="2" s="1"/>
  <c r="O49" i="2" s="1"/>
  <c r="P49" i="2" s="1"/>
  <c r="Q49" i="2" s="1"/>
  <c r="R49" i="2" s="1"/>
  <c r="S49" i="2" s="1"/>
  <c r="T49" i="2" s="1"/>
  <c r="U49" i="2" s="1"/>
  <c r="V49" i="2" s="1"/>
  <c r="K71" i="8"/>
  <c r="K57" i="8"/>
  <c r="K79" i="8"/>
  <c r="K81" i="8"/>
  <c r="K56" i="8"/>
  <c r="K75" i="8"/>
  <c r="K60" i="8"/>
  <c r="K55" i="8"/>
  <c r="K66" i="8"/>
  <c r="K61" i="8"/>
  <c r="K63" i="8"/>
  <c r="K72" i="8"/>
  <c r="K82" i="8"/>
  <c r="K62" i="8"/>
  <c r="K77" i="8"/>
  <c r="K70" i="8"/>
  <c r="K68" i="8"/>
  <c r="K49" i="8"/>
  <c r="K64" i="8"/>
  <c r="K83" i="8"/>
  <c r="K73" i="8"/>
  <c r="K58" i="8"/>
  <c r="K42" i="8"/>
  <c r="I73" i="9"/>
  <c r="I55" i="9"/>
  <c r="I85" i="9"/>
  <c r="I79" i="9"/>
  <c r="I70" i="9"/>
  <c r="I57" i="9"/>
  <c r="I62" i="9"/>
  <c r="I75" i="9"/>
  <c r="I81" i="9"/>
  <c r="I66" i="9"/>
  <c r="I60" i="9"/>
  <c r="I63" i="9"/>
  <c r="I71" i="9"/>
  <c r="I77" i="9"/>
  <c r="I61" i="9"/>
  <c r="I68" i="9"/>
  <c r="I56" i="9"/>
  <c r="I72" i="9"/>
  <c r="I58" i="9"/>
  <c r="I64" i="9"/>
  <c r="I82" i="9"/>
  <c r="I83" i="9"/>
  <c r="U176" i="6"/>
  <c r="F176" i="6"/>
  <c r="T176" i="6"/>
  <c r="N176" i="6"/>
  <c r="Q176" i="6"/>
  <c r="L176" i="6"/>
  <c r="O176" i="6"/>
  <c r="P176" i="6"/>
  <c r="X176" i="6"/>
  <c r="M176" i="6"/>
  <c r="R176" i="6"/>
  <c r="S176" i="6"/>
  <c r="I176" i="6"/>
  <c r="J176" i="6"/>
  <c r="H88" i="6"/>
  <c r="W176" i="6"/>
  <c r="F90" i="6"/>
  <c r="U178" i="6" s="1"/>
  <c r="K176" i="6"/>
  <c r="G85" i="8"/>
  <c r="K85" i="8" s="1"/>
  <c r="F85" i="8"/>
  <c r="F53" i="8"/>
  <c r="J64" i="8" s="1"/>
  <c r="F90" i="7"/>
  <c r="F87" i="8" s="1"/>
  <c r="J5" i="3"/>
  <c r="I9" i="3"/>
  <c r="O143" i="2"/>
  <c r="P143" i="2" s="1"/>
  <c r="Q143" i="2" s="1"/>
  <c r="R143" i="2" s="1"/>
  <c r="S143" i="2" s="1"/>
  <c r="T143" i="2" s="1"/>
  <c r="U143" i="2" s="1"/>
  <c r="V143" i="2" s="1"/>
  <c r="O104" i="2"/>
  <c r="M141" i="2"/>
  <c r="M134" i="2"/>
  <c r="Q134" i="2"/>
  <c r="U134" i="2"/>
  <c r="T134" i="2"/>
  <c r="P134" i="2"/>
  <c r="M132" i="2"/>
  <c r="S134" i="2"/>
  <c r="O134" i="2"/>
  <c r="V134" i="2"/>
  <c r="R134" i="2"/>
  <c r="N134" i="2"/>
  <c r="O101" i="2"/>
  <c r="P101" i="2" s="1"/>
  <c r="Q101" i="2" s="1"/>
  <c r="N24" i="2"/>
  <c r="M74" i="2"/>
  <c r="M66" i="2"/>
  <c r="L36" i="2"/>
  <c r="C11" i="2"/>
  <c r="C12" i="2"/>
  <c r="C10" i="2"/>
  <c r="I36" i="2"/>
  <c r="I40" i="2" s="1"/>
  <c r="H36" i="2"/>
  <c r="H40" i="2" s="1"/>
  <c r="I145" i="2"/>
  <c r="L145" i="2" s="1"/>
  <c r="H146" i="2"/>
  <c r="L144" i="2"/>
  <c r="I134" i="2"/>
  <c r="L134" i="2" s="1"/>
  <c r="I135" i="2"/>
  <c r="L135" i="2" s="1"/>
  <c r="L130" i="2"/>
  <c r="H130" i="2"/>
  <c r="H136" i="2" s="1"/>
  <c r="H138" i="2" s="1"/>
  <c r="I117" i="2"/>
  <c r="L117" i="2" s="1"/>
  <c r="H117" i="2"/>
  <c r="L115" i="2"/>
  <c r="L112" i="2"/>
  <c r="H112" i="2"/>
  <c r="H113" i="2"/>
  <c r="L113" i="2"/>
  <c r="G9" i="3" l="1"/>
  <c r="J85" i="8"/>
  <c r="J87" i="8"/>
  <c r="N46" i="2"/>
  <c r="O46" i="2" s="1"/>
  <c r="P46" i="2" s="1"/>
  <c r="Q46" i="2" s="1"/>
  <c r="R46" i="2" s="1"/>
  <c r="S46" i="2" s="1"/>
  <c r="T46" i="2" s="1"/>
  <c r="U46" i="2" s="1"/>
  <c r="V46" i="2" s="1"/>
  <c r="M133" i="2"/>
  <c r="O25" i="2"/>
  <c r="P25" i="2" s="1"/>
  <c r="Q25" i="2" s="1"/>
  <c r="O133" i="2"/>
  <c r="N133" i="2"/>
  <c r="O34" i="2"/>
  <c r="N74" i="2"/>
  <c r="N112" i="2" s="1"/>
  <c r="N33" i="2"/>
  <c r="N123" i="2" s="1"/>
  <c r="J75" i="8"/>
  <c r="J70" i="8"/>
  <c r="J62" i="8"/>
  <c r="J79" i="8"/>
  <c r="J57" i="8"/>
  <c r="J71" i="8"/>
  <c r="J68" i="8"/>
  <c r="J66" i="8"/>
  <c r="J60" i="8"/>
  <c r="J55" i="8"/>
  <c r="J81" i="8"/>
  <c r="J72" i="8"/>
  <c r="J61" i="8"/>
  <c r="J56" i="8"/>
  <c r="J77" i="8"/>
  <c r="J83" i="8"/>
  <c r="J58" i="8"/>
  <c r="J73" i="8"/>
  <c r="J82" i="8"/>
  <c r="J63" i="8"/>
  <c r="K53" i="8"/>
  <c r="M178" i="6"/>
  <c r="S178" i="6"/>
  <c r="V178" i="6"/>
  <c r="T178" i="6"/>
  <c r="I178" i="6"/>
  <c r="P178" i="6"/>
  <c r="G87" i="8"/>
  <c r="K87" i="8" s="1"/>
  <c r="N178" i="6"/>
  <c r="K178" i="6"/>
  <c r="O178" i="6"/>
  <c r="R178" i="6"/>
  <c r="X178" i="6"/>
  <c r="W178" i="6"/>
  <c r="F178" i="6"/>
  <c r="J178" i="6"/>
  <c r="Q178" i="6"/>
  <c r="L178" i="6"/>
  <c r="K5" i="3"/>
  <c r="J9" i="3"/>
  <c r="P104" i="2"/>
  <c r="M112" i="2"/>
  <c r="M130" i="2"/>
  <c r="L146" i="2"/>
  <c r="N66" i="2"/>
  <c r="M69" i="2"/>
  <c r="O24" i="2"/>
  <c r="O132" i="2" s="1"/>
  <c r="N132" i="2"/>
  <c r="N69" i="2"/>
  <c r="M123" i="2"/>
  <c r="R101" i="2"/>
  <c r="I146" i="2"/>
  <c r="I136" i="2"/>
  <c r="N130" i="2" l="1"/>
  <c r="Q133" i="2"/>
  <c r="P133" i="2"/>
  <c r="R25" i="2"/>
  <c r="R133" i="2" s="1"/>
  <c r="P34" i="2"/>
  <c r="O141" i="2"/>
  <c r="O33" i="2"/>
  <c r="L5" i="3"/>
  <c r="K9" i="3"/>
  <c r="Q104" i="2"/>
  <c r="P24" i="2"/>
  <c r="P132" i="2" s="1"/>
  <c r="O74" i="2"/>
  <c r="O66" i="2"/>
  <c r="S101" i="2"/>
  <c r="I138" i="2"/>
  <c r="L136" i="2"/>
  <c r="L138" i="2" s="1"/>
  <c r="F70" i="1"/>
  <c r="H68" i="8" s="1"/>
  <c r="I75" i="2"/>
  <c r="L72" i="2"/>
  <c r="G84" i="1"/>
  <c r="M4" i="2"/>
  <c r="N4" i="2" s="1"/>
  <c r="O4" i="2" s="1"/>
  <c r="P4" i="2" s="1"/>
  <c r="Q4" i="2" s="1"/>
  <c r="R4" i="2" s="1"/>
  <c r="S4" i="2" s="1"/>
  <c r="T4" i="2" s="1"/>
  <c r="U4" i="2" s="1"/>
  <c r="V4" i="2" s="1"/>
  <c r="H4" i="2"/>
  <c r="I4" i="2" s="1"/>
  <c r="S25" i="2" l="1"/>
  <c r="S133" i="2"/>
  <c r="Q34" i="2"/>
  <c r="P141" i="2"/>
  <c r="O123" i="2"/>
  <c r="P33" i="2"/>
  <c r="O69" i="2"/>
  <c r="K158" i="1"/>
  <c r="O158" i="1"/>
  <c r="S158" i="1"/>
  <c r="W158" i="1"/>
  <c r="M158" i="1"/>
  <c r="R158" i="1"/>
  <c r="X158" i="1"/>
  <c r="P158" i="1"/>
  <c r="I158" i="1"/>
  <c r="N158" i="1"/>
  <c r="T158" i="1"/>
  <c r="J158" i="1"/>
  <c r="U158" i="1"/>
  <c r="Q158" i="1"/>
  <c r="F158" i="1"/>
  <c r="V158" i="1"/>
  <c r="L158" i="1"/>
  <c r="M5" i="3"/>
  <c r="L9" i="3"/>
  <c r="R104" i="2"/>
  <c r="O130" i="2"/>
  <c r="O112" i="2"/>
  <c r="P74" i="2"/>
  <c r="P66" i="2"/>
  <c r="Q24" i="2"/>
  <c r="Q74" i="2" s="1"/>
  <c r="T101" i="2"/>
  <c r="L75" i="2"/>
  <c r="L90" i="2"/>
  <c r="L94" i="2"/>
  <c r="L95" i="2"/>
  <c r="L86" i="2"/>
  <c r="L85" i="2"/>
  <c r="L84" i="2"/>
  <c r="L83" i="2"/>
  <c r="L82" i="2"/>
  <c r="L81" i="2"/>
  <c r="L69" i="2"/>
  <c r="L66" i="2"/>
  <c r="L65" i="2"/>
  <c r="H67" i="2"/>
  <c r="H87" i="2"/>
  <c r="I67" i="2"/>
  <c r="I3" i="2"/>
  <c r="G53" i="1"/>
  <c r="G50" i="1"/>
  <c r="G65" i="1"/>
  <c r="G70" i="1"/>
  <c r="I25" i="1"/>
  <c r="I33" i="1"/>
  <c r="I38" i="1"/>
  <c r="I42" i="1"/>
  <c r="I50" i="1"/>
  <c r="I60" i="1"/>
  <c r="I66" i="1"/>
  <c r="I74" i="1"/>
  <c r="I84" i="1"/>
  <c r="F47" i="1"/>
  <c r="H45" i="8" s="1"/>
  <c r="L45" i="8" s="1"/>
  <c r="F46" i="1"/>
  <c r="H44" i="8" s="1"/>
  <c r="L44" i="8" s="1"/>
  <c r="T25" i="2" l="1"/>
  <c r="T133" i="2" s="1"/>
  <c r="R34" i="2"/>
  <c r="Q141" i="2"/>
  <c r="H70" i="2"/>
  <c r="H16" i="2"/>
  <c r="P123" i="2"/>
  <c r="Q33" i="2"/>
  <c r="P69" i="2"/>
  <c r="I44" i="1"/>
  <c r="J134" i="1"/>
  <c r="K134" i="1"/>
  <c r="O134" i="1"/>
  <c r="S134" i="1"/>
  <c r="W134" i="1"/>
  <c r="L134" i="1"/>
  <c r="Q134" i="1"/>
  <c r="V134" i="1"/>
  <c r="M134" i="1"/>
  <c r="R134" i="1"/>
  <c r="X134" i="1"/>
  <c r="T134" i="1"/>
  <c r="I134" i="1"/>
  <c r="U134" i="1"/>
  <c r="N134" i="1"/>
  <c r="P134" i="1"/>
  <c r="F134" i="1"/>
  <c r="K135" i="1"/>
  <c r="O135" i="1"/>
  <c r="S135" i="1"/>
  <c r="L135" i="1"/>
  <c r="Q135" i="1"/>
  <c r="V135" i="1"/>
  <c r="M135" i="1"/>
  <c r="R135" i="1"/>
  <c r="W135" i="1"/>
  <c r="N135" i="1"/>
  <c r="X135" i="1"/>
  <c r="I135" i="1"/>
  <c r="P135" i="1"/>
  <c r="T135" i="1"/>
  <c r="J135" i="1"/>
  <c r="F135" i="1"/>
  <c r="U135" i="1"/>
  <c r="I85" i="1"/>
  <c r="I51" i="1"/>
  <c r="I75" i="1"/>
  <c r="N5" i="3"/>
  <c r="M9" i="3"/>
  <c r="S104" i="2"/>
  <c r="P130" i="2"/>
  <c r="P112" i="2"/>
  <c r="Q130" i="2"/>
  <c r="Q112" i="2"/>
  <c r="Q66" i="2"/>
  <c r="Q132" i="2"/>
  <c r="R24" i="2"/>
  <c r="R132" i="2" s="1"/>
  <c r="U101" i="2"/>
  <c r="L3" i="2"/>
  <c r="F3" i="3" s="1"/>
  <c r="F5" i="2"/>
  <c r="H77" i="2"/>
  <c r="L67" i="2"/>
  <c r="I70" i="2"/>
  <c r="Q84" i="1"/>
  <c r="R84" i="1"/>
  <c r="P84" i="1"/>
  <c r="X84" i="1"/>
  <c r="W84" i="1"/>
  <c r="V84" i="1"/>
  <c r="U84" i="1"/>
  <c r="T84" i="1"/>
  <c r="S84" i="1"/>
  <c r="O84" i="1"/>
  <c r="N84" i="1"/>
  <c r="M84" i="1"/>
  <c r="L84" i="1"/>
  <c r="K84" i="1"/>
  <c r="J84" i="1"/>
  <c r="F83" i="1"/>
  <c r="H81" i="8" s="1"/>
  <c r="F81" i="1"/>
  <c r="H79" i="8" s="1"/>
  <c r="F79" i="1"/>
  <c r="H77" i="8" s="1"/>
  <c r="F77" i="1"/>
  <c r="H75" i="8" s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F73" i="1"/>
  <c r="H71" i="8" s="1"/>
  <c r="F72" i="1"/>
  <c r="H70" i="8" s="1"/>
  <c r="H70" i="1"/>
  <c r="F68" i="1"/>
  <c r="H66" i="8" s="1"/>
  <c r="T65" i="1"/>
  <c r="P66" i="1"/>
  <c r="X66" i="1"/>
  <c r="W66" i="1"/>
  <c r="V66" i="1"/>
  <c r="U66" i="1"/>
  <c r="F64" i="1"/>
  <c r="H62" i="8" s="1"/>
  <c r="F63" i="1"/>
  <c r="H61" i="8" s="1"/>
  <c r="F62" i="1"/>
  <c r="H60" i="8" s="1"/>
  <c r="K66" i="1"/>
  <c r="L66" i="1"/>
  <c r="M66" i="1"/>
  <c r="N66" i="1"/>
  <c r="Q66" i="1"/>
  <c r="R66" i="1"/>
  <c r="S66" i="1"/>
  <c r="F59" i="1"/>
  <c r="H57" i="8" s="1"/>
  <c r="F58" i="1"/>
  <c r="H56" i="8" s="1"/>
  <c r="F57" i="1"/>
  <c r="H55" i="8" s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X50" i="1"/>
  <c r="W50" i="1"/>
  <c r="V50" i="1"/>
  <c r="U50" i="1"/>
  <c r="T50" i="1"/>
  <c r="S50" i="1"/>
  <c r="R50" i="1"/>
  <c r="Q50" i="1"/>
  <c r="P50" i="1"/>
  <c r="G48" i="9" s="1"/>
  <c r="J48" i="9" s="1"/>
  <c r="O50" i="1"/>
  <c r="N50" i="1"/>
  <c r="M50" i="1"/>
  <c r="L50" i="1"/>
  <c r="K50" i="1"/>
  <c r="J50" i="1"/>
  <c r="F48" i="1"/>
  <c r="H46" i="8" s="1"/>
  <c r="L46" i="8" s="1"/>
  <c r="F49" i="1"/>
  <c r="H47" i="8" s="1"/>
  <c r="L47" i="8" s="1"/>
  <c r="F40" i="1"/>
  <c r="H38" i="8" s="1"/>
  <c r="L38" i="8" s="1"/>
  <c r="F41" i="1"/>
  <c r="H39" i="8" s="1"/>
  <c r="L39" i="8" s="1"/>
  <c r="J42" i="1"/>
  <c r="L42" i="1"/>
  <c r="M42" i="1"/>
  <c r="N42" i="1"/>
  <c r="O42" i="1"/>
  <c r="P42" i="1"/>
  <c r="G40" i="9" s="1"/>
  <c r="J40" i="9" s="1"/>
  <c r="Q42" i="1"/>
  <c r="R42" i="1"/>
  <c r="S42" i="1"/>
  <c r="T42" i="1"/>
  <c r="U42" i="1"/>
  <c r="V42" i="1"/>
  <c r="W42" i="1"/>
  <c r="X42" i="1"/>
  <c r="P38" i="1"/>
  <c r="G36" i="9" s="1"/>
  <c r="J36" i="9" s="1"/>
  <c r="J38" i="1"/>
  <c r="K38" i="1"/>
  <c r="L38" i="1"/>
  <c r="M38" i="1"/>
  <c r="N38" i="1"/>
  <c r="O38" i="1"/>
  <c r="Q38" i="1"/>
  <c r="R38" i="1"/>
  <c r="S38" i="1"/>
  <c r="T38" i="1"/>
  <c r="U38" i="1"/>
  <c r="V38" i="1"/>
  <c r="W38" i="1"/>
  <c r="X38" i="1"/>
  <c r="F37" i="1"/>
  <c r="H35" i="8" s="1"/>
  <c r="L35" i="8" s="1"/>
  <c r="F36" i="1"/>
  <c r="H34" i="8" s="1"/>
  <c r="L34" i="8" s="1"/>
  <c r="F35" i="1"/>
  <c r="H33" i="8" s="1"/>
  <c r="L33" i="8" s="1"/>
  <c r="F32" i="1"/>
  <c r="H30" i="8" s="1"/>
  <c r="L30" i="8" s="1"/>
  <c r="F31" i="1"/>
  <c r="H29" i="8" s="1"/>
  <c r="L29" i="8" s="1"/>
  <c r="F30" i="1"/>
  <c r="H28" i="8" s="1"/>
  <c r="L28" i="8" s="1"/>
  <c r="F29" i="1"/>
  <c r="H27" i="8" s="1"/>
  <c r="L27" i="8" s="1"/>
  <c r="F28" i="1"/>
  <c r="H26" i="8" s="1"/>
  <c r="L26" i="8" s="1"/>
  <c r="F27" i="1"/>
  <c r="H25" i="8" s="1"/>
  <c r="L25" i="8" s="1"/>
  <c r="J33" i="1"/>
  <c r="K33" i="1"/>
  <c r="L33" i="1"/>
  <c r="M33" i="1"/>
  <c r="N33" i="1"/>
  <c r="O33" i="1"/>
  <c r="P33" i="1"/>
  <c r="G31" i="9" s="1"/>
  <c r="J31" i="9" s="1"/>
  <c r="Q33" i="1"/>
  <c r="R33" i="1"/>
  <c r="S33" i="1"/>
  <c r="T33" i="1"/>
  <c r="U33" i="1"/>
  <c r="V33" i="1"/>
  <c r="W33" i="1"/>
  <c r="X33" i="1"/>
  <c r="F7" i="1"/>
  <c r="H5" i="8" s="1"/>
  <c r="L5" i="8" s="1"/>
  <c r="F8" i="1"/>
  <c r="H6" i="8" s="1"/>
  <c r="L6" i="8" s="1"/>
  <c r="F9" i="1"/>
  <c r="H7" i="8" s="1"/>
  <c r="L7" i="8" s="1"/>
  <c r="F10" i="1"/>
  <c r="H8" i="8" s="1"/>
  <c r="L8" i="8" s="1"/>
  <c r="F11" i="1"/>
  <c r="H9" i="8" s="1"/>
  <c r="L9" i="8" s="1"/>
  <c r="F12" i="1"/>
  <c r="H10" i="8" s="1"/>
  <c r="L10" i="8" s="1"/>
  <c r="F13" i="1"/>
  <c r="H11" i="8" s="1"/>
  <c r="L11" i="8" s="1"/>
  <c r="F14" i="1"/>
  <c r="H12" i="8" s="1"/>
  <c r="L12" i="8" s="1"/>
  <c r="F15" i="1"/>
  <c r="H13" i="8" s="1"/>
  <c r="L13" i="8" s="1"/>
  <c r="F16" i="1"/>
  <c r="H14" i="8" s="1"/>
  <c r="L14" i="8" s="1"/>
  <c r="F17" i="1"/>
  <c r="H15" i="8" s="1"/>
  <c r="L15" i="8" s="1"/>
  <c r="F18" i="1"/>
  <c r="H16" i="8" s="1"/>
  <c r="L16" i="8" s="1"/>
  <c r="F19" i="1"/>
  <c r="H17" i="8" s="1"/>
  <c r="L17" i="8" s="1"/>
  <c r="F20" i="1"/>
  <c r="H18" i="8" s="1"/>
  <c r="L18" i="8" s="1"/>
  <c r="F21" i="1"/>
  <c r="H19" i="8" s="1"/>
  <c r="L19" i="8" s="1"/>
  <c r="F22" i="1"/>
  <c r="H20" i="8" s="1"/>
  <c r="L20" i="8" s="1"/>
  <c r="F23" i="1"/>
  <c r="H21" i="8" s="1"/>
  <c r="L21" i="8" s="1"/>
  <c r="F24" i="1"/>
  <c r="H22" i="8" s="1"/>
  <c r="L22" i="8" s="1"/>
  <c r="F6" i="1"/>
  <c r="J25" i="1"/>
  <c r="K25" i="1"/>
  <c r="L25" i="1"/>
  <c r="M25" i="1"/>
  <c r="N25" i="1"/>
  <c r="O25" i="1"/>
  <c r="P25" i="1"/>
  <c r="G23" i="9" s="1"/>
  <c r="J23" i="9" s="1"/>
  <c r="Q25" i="1"/>
  <c r="R25" i="1"/>
  <c r="S25" i="1"/>
  <c r="T25" i="1"/>
  <c r="U25" i="1"/>
  <c r="V25" i="1"/>
  <c r="W25" i="1"/>
  <c r="X25" i="1"/>
  <c r="G58" i="9" l="1"/>
  <c r="G64" i="9"/>
  <c r="G72" i="9"/>
  <c r="V260" i="1"/>
  <c r="V306" i="1" s="1"/>
  <c r="I94" i="1"/>
  <c r="H4" i="8"/>
  <c r="L4" i="8" s="1"/>
  <c r="V252" i="1"/>
  <c r="V298" i="1" s="1"/>
  <c r="G82" i="9"/>
  <c r="U25" i="2"/>
  <c r="U133" i="2"/>
  <c r="H6" i="2"/>
  <c r="G6" i="2"/>
  <c r="G157" i="2" s="1"/>
  <c r="S34" i="2"/>
  <c r="R141" i="2"/>
  <c r="Q69" i="2"/>
  <c r="R33" i="2"/>
  <c r="Q123" i="2"/>
  <c r="H57" i="2"/>
  <c r="H53" i="2"/>
  <c r="H12" i="2"/>
  <c r="H58" i="2"/>
  <c r="H56" i="2"/>
  <c r="H54" i="2"/>
  <c r="H52" i="2"/>
  <c r="H101" i="2"/>
  <c r="H15" i="2"/>
  <c r="H59" i="2"/>
  <c r="H55" i="2"/>
  <c r="H100" i="2"/>
  <c r="I55" i="1"/>
  <c r="I227" i="1" s="1"/>
  <c r="I239" i="1" s="1"/>
  <c r="K109" i="1"/>
  <c r="O109" i="1"/>
  <c r="S109" i="1"/>
  <c r="W109" i="1"/>
  <c r="L109" i="1"/>
  <c r="P109" i="1"/>
  <c r="T109" i="1"/>
  <c r="X109" i="1"/>
  <c r="I109" i="1"/>
  <c r="Q109" i="1"/>
  <c r="J109" i="1"/>
  <c r="R109" i="1"/>
  <c r="M109" i="1"/>
  <c r="N109" i="1"/>
  <c r="U109" i="1"/>
  <c r="V109" i="1"/>
  <c r="F109" i="1"/>
  <c r="K101" i="1"/>
  <c r="O101" i="1"/>
  <c r="S101" i="1"/>
  <c r="W101" i="1"/>
  <c r="L101" i="1"/>
  <c r="P101" i="1"/>
  <c r="T101" i="1"/>
  <c r="X101" i="1"/>
  <c r="I101" i="1"/>
  <c r="Q101" i="1"/>
  <c r="J101" i="1"/>
  <c r="R101" i="1"/>
  <c r="M101" i="1"/>
  <c r="N101" i="1"/>
  <c r="U101" i="1"/>
  <c r="V101" i="1"/>
  <c r="F101" i="1"/>
  <c r="L117" i="1"/>
  <c r="P117" i="1"/>
  <c r="T117" i="1"/>
  <c r="X117" i="1"/>
  <c r="I117" i="1"/>
  <c r="M117" i="1"/>
  <c r="Q117" i="1"/>
  <c r="U117" i="1"/>
  <c r="J117" i="1"/>
  <c r="R117" i="1"/>
  <c r="K117" i="1"/>
  <c r="S117" i="1"/>
  <c r="N117" i="1"/>
  <c r="O117" i="1"/>
  <c r="V117" i="1"/>
  <c r="W117" i="1"/>
  <c r="F117" i="1"/>
  <c r="J129" i="1"/>
  <c r="N129" i="1"/>
  <c r="R129" i="1"/>
  <c r="V129" i="1"/>
  <c r="K129" i="1"/>
  <c r="O129" i="1"/>
  <c r="S129" i="1"/>
  <c r="W129" i="1"/>
  <c r="L129" i="1"/>
  <c r="T129" i="1"/>
  <c r="M129" i="1"/>
  <c r="U129" i="1"/>
  <c r="X129" i="1"/>
  <c r="P129" i="1"/>
  <c r="I129" i="1"/>
  <c r="F129" i="1"/>
  <c r="Q129" i="1"/>
  <c r="J51" i="1"/>
  <c r="R51" i="1"/>
  <c r="K147" i="1"/>
  <c r="O147" i="1"/>
  <c r="S147" i="1"/>
  <c r="W147" i="1"/>
  <c r="L147" i="1"/>
  <c r="P147" i="1"/>
  <c r="T147" i="1"/>
  <c r="X147" i="1"/>
  <c r="I147" i="1"/>
  <c r="Q147" i="1"/>
  <c r="M147" i="1"/>
  <c r="J147" i="1"/>
  <c r="R147" i="1"/>
  <c r="U147" i="1"/>
  <c r="N147" i="1"/>
  <c r="F147" i="1"/>
  <c r="V147" i="1"/>
  <c r="K150" i="1"/>
  <c r="O150" i="1"/>
  <c r="S150" i="1"/>
  <c r="W150" i="1"/>
  <c r="L150" i="1"/>
  <c r="P150" i="1"/>
  <c r="T150" i="1"/>
  <c r="X150" i="1"/>
  <c r="I150" i="1"/>
  <c r="Q150" i="1"/>
  <c r="F150" i="1"/>
  <c r="M150" i="1"/>
  <c r="J150" i="1"/>
  <c r="R150" i="1"/>
  <c r="U150" i="1"/>
  <c r="N150" i="1"/>
  <c r="V150" i="1"/>
  <c r="T66" i="1"/>
  <c r="K161" i="1"/>
  <c r="O161" i="1"/>
  <c r="S161" i="1"/>
  <c r="W161" i="1"/>
  <c r="M161" i="1"/>
  <c r="R161" i="1"/>
  <c r="X161" i="1"/>
  <c r="F161" i="1"/>
  <c r="P161" i="1"/>
  <c r="I161" i="1"/>
  <c r="N161" i="1"/>
  <c r="T161" i="1"/>
  <c r="J161" i="1"/>
  <c r="U161" i="1"/>
  <c r="L161" i="1"/>
  <c r="Q161" i="1"/>
  <c r="V161" i="1"/>
  <c r="Q75" i="1"/>
  <c r="U75" i="1"/>
  <c r="H77" i="1"/>
  <c r="I80" i="2" s="1"/>
  <c r="I87" i="2" s="1"/>
  <c r="K165" i="1"/>
  <c r="O165" i="1"/>
  <c r="S165" i="1"/>
  <c r="W165" i="1"/>
  <c r="M165" i="1"/>
  <c r="R165" i="1"/>
  <c r="X165" i="1"/>
  <c r="J165" i="1"/>
  <c r="U165" i="1"/>
  <c r="I165" i="1"/>
  <c r="N165" i="1"/>
  <c r="T165" i="1"/>
  <c r="F165" i="1"/>
  <c r="P165" i="1"/>
  <c r="V165" i="1"/>
  <c r="L165" i="1"/>
  <c r="Q165" i="1"/>
  <c r="U85" i="1"/>
  <c r="P85" i="1"/>
  <c r="G83" i="9" s="1"/>
  <c r="K108" i="1"/>
  <c r="O108" i="1"/>
  <c r="S108" i="1"/>
  <c r="W108" i="1"/>
  <c r="L108" i="1"/>
  <c r="P108" i="1"/>
  <c r="T108" i="1"/>
  <c r="X108" i="1"/>
  <c r="I108" i="1"/>
  <c r="Q108" i="1"/>
  <c r="J108" i="1"/>
  <c r="R108" i="1"/>
  <c r="M108" i="1"/>
  <c r="N108" i="1"/>
  <c r="U108" i="1"/>
  <c r="V108" i="1"/>
  <c r="F108" i="1"/>
  <c r="K151" i="1"/>
  <c r="O151" i="1"/>
  <c r="S151" i="1"/>
  <c r="W151" i="1"/>
  <c r="L151" i="1"/>
  <c r="P151" i="1"/>
  <c r="T151" i="1"/>
  <c r="X151" i="1"/>
  <c r="I151" i="1"/>
  <c r="Q151" i="1"/>
  <c r="M151" i="1"/>
  <c r="J151" i="1"/>
  <c r="R151" i="1"/>
  <c r="U151" i="1"/>
  <c r="N151" i="1"/>
  <c r="V151" i="1"/>
  <c r="F151" i="1"/>
  <c r="K156" i="1"/>
  <c r="O156" i="1"/>
  <c r="S156" i="1"/>
  <c r="W156" i="1"/>
  <c r="M156" i="1"/>
  <c r="R156" i="1"/>
  <c r="X156" i="1"/>
  <c r="J156" i="1"/>
  <c r="U156" i="1"/>
  <c r="I156" i="1"/>
  <c r="N156" i="1"/>
  <c r="T156" i="1"/>
  <c r="P156" i="1"/>
  <c r="L156" i="1"/>
  <c r="Q156" i="1"/>
  <c r="F156" i="1"/>
  <c r="V156" i="1"/>
  <c r="N75" i="1"/>
  <c r="V75" i="1"/>
  <c r="V261" i="1" s="1"/>
  <c r="V307" i="1" s="1"/>
  <c r="O85" i="1"/>
  <c r="R85" i="1"/>
  <c r="K111" i="1"/>
  <c r="O111" i="1"/>
  <c r="S111" i="1"/>
  <c r="W111" i="1"/>
  <c r="L111" i="1"/>
  <c r="P111" i="1"/>
  <c r="T111" i="1"/>
  <c r="X111" i="1"/>
  <c r="I111" i="1"/>
  <c r="Q111" i="1"/>
  <c r="J111" i="1"/>
  <c r="R111" i="1"/>
  <c r="M111" i="1"/>
  <c r="N111" i="1"/>
  <c r="U111" i="1"/>
  <c r="F111" i="1"/>
  <c r="V111" i="1"/>
  <c r="K107" i="1"/>
  <c r="O107" i="1"/>
  <c r="S107" i="1"/>
  <c r="W107" i="1"/>
  <c r="L107" i="1"/>
  <c r="P107" i="1"/>
  <c r="T107" i="1"/>
  <c r="X107" i="1"/>
  <c r="I107" i="1"/>
  <c r="Q107" i="1"/>
  <c r="J107" i="1"/>
  <c r="R107" i="1"/>
  <c r="M107" i="1"/>
  <c r="N107" i="1"/>
  <c r="U107" i="1"/>
  <c r="F107" i="1"/>
  <c r="V107" i="1"/>
  <c r="K103" i="1"/>
  <c r="O103" i="1"/>
  <c r="S103" i="1"/>
  <c r="W103" i="1"/>
  <c r="L103" i="1"/>
  <c r="P103" i="1"/>
  <c r="T103" i="1"/>
  <c r="X103" i="1"/>
  <c r="I103" i="1"/>
  <c r="Q103" i="1"/>
  <c r="J103" i="1"/>
  <c r="R103" i="1"/>
  <c r="M103" i="1"/>
  <c r="N103" i="1"/>
  <c r="U103" i="1"/>
  <c r="F103" i="1"/>
  <c r="V103" i="1"/>
  <c r="K99" i="1"/>
  <c r="O99" i="1"/>
  <c r="S99" i="1"/>
  <c r="W99" i="1"/>
  <c r="L99" i="1"/>
  <c r="P99" i="1"/>
  <c r="T99" i="1"/>
  <c r="X99" i="1"/>
  <c r="I99" i="1"/>
  <c r="Q99" i="1"/>
  <c r="J99" i="1"/>
  <c r="R99" i="1"/>
  <c r="M99" i="1"/>
  <c r="N99" i="1"/>
  <c r="U99" i="1"/>
  <c r="F99" i="1"/>
  <c r="V99" i="1"/>
  <c r="V95" i="1"/>
  <c r="T95" i="1"/>
  <c r="P95" i="1"/>
  <c r="L95" i="1"/>
  <c r="F95" i="1"/>
  <c r="X95" i="1"/>
  <c r="S95" i="1"/>
  <c r="O95" i="1"/>
  <c r="K95" i="1"/>
  <c r="Q95" i="1"/>
  <c r="I95" i="1"/>
  <c r="U95" i="1"/>
  <c r="R95" i="1"/>
  <c r="W95" i="1"/>
  <c r="N95" i="1"/>
  <c r="M95" i="1"/>
  <c r="J95" i="1"/>
  <c r="L115" i="1"/>
  <c r="P115" i="1"/>
  <c r="T115" i="1"/>
  <c r="X115" i="1"/>
  <c r="I115" i="1"/>
  <c r="M115" i="1"/>
  <c r="Q115" i="1"/>
  <c r="U115" i="1"/>
  <c r="J115" i="1"/>
  <c r="R115" i="1"/>
  <c r="K115" i="1"/>
  <c r="S115" i="1"/>
  <c r="N115" i="1"/>
  <c r="O115" i="1"/>
  <c r="F115" i="1"/>
  <c r="V115" i="1"/>
  <c r="W115" i="1"/>
  <c r="L119" i="1"/>
  <c r="P119" i="1"/>
  <c r="T119" i="1"/>
  <c r="X119" i="1"/>
  <c r="I119" i="1"/>
  <c r="M119" i="1"/>
  <c r="Q119" i="1"/>
  <c r="U119" i="1"/>
  <c r="J119" i="1"/>
  <c r="R119" i="1"/>
  <c r="K119" i="1"/>
  <c r="S119" i="1"/>
  <c r="N119" i="1"/>
  <c r="O119" i="1"/>
  <c r="F119" i="1"/>
  <c r="V119" i="1"/>
  <c r="W119" i="1"/>
  <c r="J125" i="1"/>
  <c r="N125" i="1"/>
  <c r="R125" i="1"/>
  <c r="V125" i="1"/>
  <c r="K125" i="1"/>
  <c r="O125" i="1"/>
  <c r="S125" i="1"/>
  <c r="W125" i="1"/>
  <c r="L125" i="1"/>
  <c r="T125" i="1"/>
  <c r="M125" i="1"/>
  <c r="U125" i="1"/>
  <c r="X125" i="1"/>
  <c r="F125" i="1"/>
  <c r="I125" i="1"/>
  <c r="P125" i="1"/>
  <c r="Q125" i="1"/>
  <c r="U44" i="1"/>
  <c r="J137" i="1"/>
  <c r="N137" i="1"/>
  <c r="R137" i="1"/>
  <c r="V137" i="1"/>
  <c r="K137" i="1"/>
  <c r="O137" i="1"/>
  <c r="S137" i="1"/>
  <c r="W137" i="1"/>
  <c r="P137" i="1"/>
  <c r="X137" i="1"/>
  <c r="F137" i="1"/>
  <c r="L137" i="1"/>
  <c r="I137" i="1"/>
  <c r="Q137" i="1"/>
  <c r="T137" i="1"/>
  <c r="M137" i="1"/>
  <c r="U137" i="1"/>
  <c r="L51" i="1"/>
  <c r="P51" i="1"/>
  <c r="G49" i="9" s="1"/>
  <c r="J49" i="9" s="1"/>
  <c r="T51" i="1"/>
  <c r="X51" i="1"/>
  <c r="K145" i="1"/>
  <c r="O145" i="1"/>
  <c r="S145" i="1"/>
  <c r="W145" i="1"/>
  <c r="L145" i="1"/>
  <c r="P145" i="1"/>
  <c r="T145" i="1"/>
  <c r="X145" i="1"/>
  <c r="I145" i="1"/>
  <c r="Q145" i="1"/>
  <c r="F145" i="1"/>
  <c r="M145" i="1"/>
  <c r="J145" i="1"/>
  <c r="R145" i="1"/>
  <c r="U145" i="1"/>
  <c r="N145" i="1"/>
  <c r="V145" i="1"/>
  <c r="K152" i="1"/>
  <c r="O152" i="1"/>
  <c r="S152" i="1"/>
  <c r="W152" i="1"/>
  <c r="L152" i="1"/>
  <c r="P152" i="1"/>
  <c r="T152" i="1"/>
  <c r="I152" i="1"/>
  <c r="Q152" i="1"/>
  <c r="X152" i="1"/>
  <c r="M152" i="1"/>
  <c r="J152" i="1"/>
  <c r="R152" i="1"/>
  <c r="U152" i="1"/>
  <c r="N152" i="1"/>
  <c r="F152" i="1"/>
  <c r="V152" i="1"/>
  <c r="K75" i="1"/>
  <c r="O75" i="1"/>
  <c r="S75" i="1"/>
  <c r="W75" i="1"/>
  <c r="H81" i="1"/>
  <c r="K169" i="1"/>
  <c r="O169" i="1"/>
  <c r="S169" i="1"/>
  <c r="W169" i="1"/>
  <c r="M169" i="1"/>
  <c r="R169" i="1"/>
  <c r="X169" i="1"/>
  <c r="J169" i="1"/>
  <c r="U169" i="1"/>
  <c r="I169" i="1"/>
  <c r="N169" i="1"/>
  <c r="T169" i="1"/>
  <c r="P169" i="1"/>
  <c r="L169" i="1"/>
  <c r="Q169" i="1"/>
  <c r="F169" i="1"/>
  <c r="V169" i="1"/>
  <c r="L85" i="1"/>
  <c r="S85" i="1"/>
  <c r="W85" i="1"/>
  <c r="Q85" i="1"/>
  <c r="X94" i="1"/>
  <c r="T94" i="1"/>
  <c r="P94" i="1"/>
  <c r="L94" i="1"/>
  <c r="W94" i="1"/>
  <c r="S94" i="1"/>
  <c r="O94" i="1"/>
  <c r="K94" i="1"/>
  <c r="F94" i="1"/>
  <c r="Q94" i="1"/>
  <c r="U94" i="1"/>
  <c r="R94" i="1"/>
  <c r="V94" i="1"/>
  <c r="N94" i="1"/>
  <c r="M94" i="1"/>
  <c r="J94" i="1"/>
  <c r="K105" i="1"/>
  <c r="O105" i="1"/>
  <c r="S105" i="1"/>
  <c r="W105" i="1"/>
  <c r="L105" i="1"/>
  <c r="P105" i="1"/>
  <c r="T105" i="1"/>
  <c r="X105" i="1"/>
  <c r="I105" i="1"/>
  <c r="Q105" i="1"/>
  <c r="J105" i="1"/>
  <c r="R105" i="1"/>
  <c r="M105" i="1"/>
  <c r="N105" i="1"/>
  <c r="U105" i="1"/>
  <c r="V105" i="1"/>
  <c r="F105" i="1"/>
  <c r="V97" i="1"/>
  <c r="R97" i="1"/>
  <c r="N97" i="1"/>
  <c r="J97" i="1"/>
  <c r="T97" i="1"/>
  <c r="O97" i="1"/>
  <c r="I97" i="1"/>
  <c r="X97" i="1"/>
  <c r="S97" i="1"/>
  <c r="M97" i="1"/>
  <c r="P97" i="1"/>
  <c r="F97" i="1"/>
  <c r="K97" i="1"/>
  <c r="W97" i="1"/>
  <c r="L97" i="1"/>
  <c r="U97" i="1"/>
  <c r="Q97" i="1"/>
  <c r="J123" i="1"/>
  <c r="N123" i="1"/>
  <c r="R123" i="1"/>
  <c r="V123" i="1"/>
  <c r="K123" i="1"/>
  <c r="O123" i="1"/>
  <c r="S123" i="1"/>
  <c r="W123" i="1"/>
  <c r="L123" i="1"/>
  <c r="T123" i="1"/>
  <c r="M123" i="1"/>
  <c r="U123" i="1"/>
  <c r="X123" i="1"/>
  <c r="I123" i="1"/>
  <c r="P123" i="1"/>
  <c r="F123" i="1"/>
  <c r="Q123" i="1"/>
  <c r="N51" i="1"/>
  <c r="V51" i="1"/>
  <c r="M75" i="1"/>
  <c r="N85" i="1"/>
  <c r="K112" i="1"/>
  <c r="O112" i="1"/>
  <c r="S112" i="1"/>
  <c r="W112" i="1"/>
  <c r="L112" i="1"/>
  <c r="P112" i="1"/>
  <c r="T112" i="1"/>
  <c r="X112" i="1"/>
  <c r="I112" i="1"/>
  <c r="Q112" i="1"/>
  <c r="J112" i="1"/>
  <c r="R112" i="1"/>
  <c r="M112" i="1"/>
  <c r="N112" i="1"/>
  <c r="U112" i="1"/>
  <c r="F112" i="1"/>
  <c r="V112" i="1"/>
  <c r="K104" i="1"/>
  <c r="O104" i="1"/>
  <c r="S104" i="1"/>
  <c r="W104" i="1"/>
  <c r="L104" i="1"/>
  <c r="P104" i="1"/>
  <c r="T104" i="1"/>
  <c r="X104" i="1"/>
  <c r="I104" i="1"/>
  <c r="Q104" i="1"/>
  <c r="J104" i="1"/>
  <c r="R104" i="1"/>
  <c r="M104" i="1"/>
  <c r="N104" i="1"/>
  <c r="U104" i="1"/>
  <c r="V104" i="1"/>
  <c r="F104" i="1"/>
  <c r="K100" i="1"/>
  <c r="O100" i="1"/>
  <c r="S100" i="1"/>
  <c r="W100" i="1"/>
  <c r="L100" i="1"/>
  <c r="P100" i="1"/>
  <c r="T100" i="1"/>
  <c r="X100" i="1"/>
  <c r="I100" i="1"/>
  <c r="Q100" i="1"/>
  <c r="J100" i="1"/>
  <c r="R100" i="1"/>
  <c r="M100" i="1"/>
  <c r="N100" i="1"/>
  <c r="U100" i="1"/>
  <c r="V100" i="1"/>
  <c r="F100" i="1"/>
  <c r="V96" i="1"/>
  <c r="R96" i="1"/>
  <c r="N96" i="1"/>
  <c r="J96" i="1"/>
  <c r="T96" i="1"/>
  <c r="O96" i="1"/>
  <c r="I96" i="1"/>
  <c r="X96" i="1"/>
  <c r="S96" i="1"/>
  <c r="M96" i="1"/>
  <c r="U96" i="1"/>
  <c r="K96" i="1"/>
  <c r="W96" i="1"/>
  <c r="Q96" i="1"/>
  <c r="F96" i="1"/>
  <c r="P96" i="1"/>
  <c r="L96" i="1"/>
  <c r="L118" i="1"/>
  <c r="P118" i="1"/>
  <c r="T118" i="1"/>
  <c r="X118" i="1"/>
  <c r="I118" i="1"/>
  <c r="M118" i="1"/>
  <c r="Q118" i="1"/>
  <c r="U118" i="1"/>
  <c r="J118" i="1"/>
  <c r="R118" i="1"/>
  <c r="K118" i="1"/>
  <c r="S118" i="1"/>
  <c r="N118" i="1"/>
  <c r="O118" i="1"/>
  <c r="V118" i="1"/>
  <c r="W118" i="1"/>
  <c r="F118" i="1"/>
  <c r="J124" i="1"/>
  <c r="N124" i="1"/>
  <c r="R124" i="1"/>
  <c r="V124" i="1"/>
  <c r="K124" i="1"/>
  <c r="O124" i="1"/>
  <c r="S124" i="1"/>
  <c r="W124" i="1"/>
  <c r="L124" i="1"/>
  <c r="T124" i="1"/>
  <c r="M124" i="1"/>
  <c r="U124" i="1"/>
  <c r="X124" i="1"/>
  <c r="P124" i="1"/>
  <c r="I124" i="1"/>
  <c r="F124" i="1"/>
  <c r="Q124" i="1"/>
  <c r="V44" i="1"/>
  <c r="J128" i="1"/>
  <c r="N128" i="1"/>
  <c r="R128" i="1"/>
  <c r="V128" i="1"/>
  <c r="K128" i="1"/>
  <c r="O128" i="1"/>
  <c r="S128" i="1"/>
  <c r="W128" i="1"/>
  <c r="L128" i="1"/>
  <c r="T128" i="1"/>
  <c r="M128" i="1"/>
  <c r="U128" i="1"/>
  <c r="X128" i="1"/>
  <c r="I128" i="1"/>
  <c r="P128" i="1"/>
  <c r="F128" i="1"/>
  <c r="Q128" i="1"/>
  <c r="K51" i="1"/>
  <c r="O51" i="1"/>
  <c r="W51" i="1"/>
  <c r="J75" i="1"/>
  <c r="R75" i="1"/>
  <c r="H79" i="1"/>
  <c r="K167" i="1"/>
  <c r="O167" i="1"/>
  <c r="S167" i="1"/>
  <c r="W167" i="1"/>
  <c r="M167" i="1"/>
  <c r="R167" i="1"/>
  <c r="X167" i="1"/>
  <c r="F167" i="1"/>
  <c r="P167" i="1"/>
  <c r="I167" i="1"/>
  <c r="N167" i="1"/>
  <c r="T167" i="1"/>
  <c r="J167" i="1"/>
  <c r="U167" i="1"/>
  <c r="Q167" i="1"/>
  <c r="V167" i="1"/>
  <c r="L167" i="1"/>
  <c r="V85" i="1"/>
  <c r="K110" i="1"/>
  <c r="O110" i="1"/>
  <c r="S110" i="1"/>
  <c r="W110" i="1"/>
  <c r="L110" i="1"/>
  <c r="P110" i="1"/>
  <c r="T110" i="1"/>
  <c r="X110" i="1"/>
  <c r="I110" i="1"/>
  <c r="Q110" i="1"/>
  <c r="J110" i="1"/>
  <c r="R110" i="1"/>
  <c r="M110" i="1"/>
  <c r="N110" i="1"/>
  <c r="F110" i="1"/>
  <c r="U110" i="1"/>
  <c r="V110" i="1"/>
  <c r="K106" i="1"/>
  <c r="O106" i="1"/>
  <c r="S106" i="1"/>
  <c r="W106" i="1"/>
  <c r="L106" i="1"/>
  <c r="P106" i="1"/>
  <c r="T106" i="1"/>
  <c r="X106" i="1"/>
  <c r="I106" i="1"/>
  <c r="Q106" i="1"/>
  <c r="J106" i="1"/>
  <c r="R106" i="1"/>
  <c r="M106" i="1"/>
  <c r="N106" i="1"/>
  <c r="F106" i="1"/>
  <c r="U106" i="1"/>
  <c r="V106" i="1"/>
  <c r="K102" i="1"/>
  <c r="O102" i="1"/>
  <c r="S102" i="1"/>
  <c r="W102" i="1"/>
  <c r="L102" i="1"/>
  <c r="P102" i="1"/>
  <c r="T102" i="1"/>
  <c r="X102" i="1"/>
  <c r="I102" i="1"/>
  <c r="Q102" i="1"/>
  <c r="J102" i="1"/>
  <c r="R102" i="1"/>
  <c r="M102" i="1"/>
  <c r="N102" i="1"/>
  <c r="F102" i="1"/>
  <c r="U102" i="1"/>
  <c r="V102" i="1"/>
  <c r="V98" i="1"/>
  <c r="R98" i="1"/>
  <c r="N98" i="1"/>
  <c r="J98" i="1"/>
  <c r="T98" i="1"/>
  <c r="O98" i="1"/>
  <c r="I98" i="1"/>
  <c r="X98" i="1"/>
  <c r="S98" i="1"/>
  <c r="M98" i="1"/>
  <c r="F98" i="1"/>
  <c r="U98" i="1"/>
  <c r="K98" i="1"/>
  <c r="P98" i="1"/>
  <c r="L98" i="1"/>
  <c r="Q98" i="1"/>
  <c r="W98" i="1"/>
  <c r="L116" i="1"/>
  <c r="P116" i="1"/>
  <c r="T116" i="1"/>
  <c r="X116" i="1"/>
  <c r="I116" i="1"/>
  <c r="M116" i="1"/>
  <c r="Q116" i="1"/>
  <c r="U116" i="1"/>
  <c r="J116" i="1"/>
  <c r="R116" i="1"/>
  <c r="K116" i="1"/>
  <c r="S116" i="1"/>
  <c r="N116" i="1"/>
  <c r="O116" i="1"/>
  <c r="V116" i="1"/>
  <c r="F116" i="1"/>
  <c r="W116" i="1"/>
  <c r="L120" i="1"/>
  <c r="P120" i="1"/>
  <c r="T120" i="1"/>
  <c r="X120" i="1"/>
  <c r="I120" i="1"/>
  <c r="M120" i="1"/>
  <c r="Q120" i="1"/>
  <c r="U120" i="1"/>
  <c r="J120" i="1"/>
  <c r="R120" i="1"/>
  <c r="K120" i="1"/>
  <c r="S120" i="1"/>
  <c r="N120" i="1"/>
  <c r="O120" i="1"/>
  <c r="V120" i="1"/>
  <c r="F120" i="1"/>
  <c r="W120" i="1"/>
  <c r="J136" i="1"/>
  <c r="N136" i="1"/>
  <c r="R136" i="1"/>
  <c r="V136" i="1"/>
  <c r="K136" i="1"/>
  <c r="O136" i="1"/>
  <c r="S136" i="1"/>
  <c r="W136" i="1"/>
  <c r="P136" i="1"/>
  <c r="X136" i="1"/>
  <c r="L136" i="1"/>
  <c r="I136" i="1"/>
  <c r="Q136" i="1"/>
  <c r="F136" i="1"/>
  <c r="T136" i="1"/>
  <c r="M136" i="1"/>
  <c r="U136" i="1"/>
  <c r="M51" i="1"/>
  <c r="Q51" i="1"/>
  <c r="Q55" i="1" s="1"/>
  <c r="U51" i="1"/>
  <c r="U55" i="1" s="1"/>
  <c r="U246" i="1" s="1"/>
  <c r="U292" i="1" s="1"/>
  <c r="K146" i="1"/>
  <c r="O146" i="1"/>
  <c r="S146" i="1"/>
  <c r="W146" i="1"/>
  <c r="L146" i="1"/>
  <c r="P146" i="1"/>
  <c r="T146" i="1"/>
  <c r="X146" i="1"/>
  <c r="I146" i="1"/>
  <c r="Q146" i="1"/>
  <c r="M146" i="1"/>
  <c r="J146" i="1"/>
  <c r="R146" i="1"/>
  <c r="U146" i="1"/>
  <c r="N146" i="1"/>
  <c r="V146" i="1"/>
  <c r="F146" i="1"/>
  <c r="K160" i="1"/>
  <c r="O160" i="1"/>
  <c r="S160" i="1"/>
  <c r="W160" i="1"/>
  <c r="M160" i="1"/>
  <c r="R160" i="1"/>
  <c r="X160" i="1"/>
  <c r="J160" i="1"/>
  <c r="U160" i="1"/>
  <c r="I160" i="1"/>
  <c r="N160" i="1"/>
  <c r="T160" i="1"/>
  <c r="F160" i="1"/>
  <c r="P160" i="1"/>
  <c r="V160" i="1"/>
  <c r="L160" i="1"/>
  <c r="Q160" i="1"/>
  <c r="L75" i="1"/>
  <c r="P75" i="1"/>
  <c r="T75" i="1"/>
  <c r="X75" i="1"/>
  <c r="K171" i="1"/>
  <c r="O171" i="1"/>
  <c r="S171" i="1"/>
  <c r="W171" i="1"/>
  <c r="M171" i="1"/>
  <c r="R171" i="1"/>
  <c r="X171" i="1"/>
  <c r="P171" i="1"/>
  <c r="I171" i="1"/>
  <c r="N171" i="1"/>
  <c r="T171" i="1"/>
  <c r="J171" i="1"/>
  <c r="U171" i="1"/>
  <c r="Q171" i="1"/>
  <c r="F171" i="1"/>
  <c r="V171" i="1"/>
  <c r="L171" i="1"/>
  <c r="M85" i="1"/>
  <c r="T85" i="1"/>
  <c r="X85" i="1"/>
  <c r="I87" i="1"/>
  <c r="O5" i="3"/>
  <c r="N9" i="3"/>
  <c r="T104" i="2"/>
  <c r="R66" i="2"/>
  <c r="R74" i="2"/>
  <c r="N100" i="2"/>
  <c r="S24" i="2"/>
  <c r="V101" i="2"/>
  <c r="M3" i="2"/>
  <c r="G3" i="3" s="1"/>
  <c r="L6" i="2"/>
  <c r="I6" i="2"/>
  <c r="H89" i="2"/>
  <c r="H61" i="2" s="1"/>
  <c r="I77" i="2"/>
  <c r="R44" i="1"/>
  <c r="Q44" i="1"/>
  <c r="O44" i="1"/>
  <c r="N44" i="1"/>
  <c r="L44" i="1"/>
  <c r="L70" i="2"/>
  <c r="L77" i="2" s="1"/>
  <c r="M44" i="1"/>
  <c r="T44" i="1"/>
  <c r="W44" i="1"/>
  <c r="S44" i="1"/>
  <c r="J44" i="1"/>
  <c r="X44" i="1"/>
  <c r="P44" i="1"/>
  <c r="G42" i="9" s="1"/>
  <c r="J42" i="9" s="1"/>
  <c r="F25" i="1"/>
  <c r="H23" i="8" s="1"/>
  <c r="L23" i="8" s="1"/>
  <c r="F38" i="1"/>
  <c r="F50" i="1"/>
  <c r="H48" i="8" s="1"/>
  <c r="L48" i="8" s="1"/>
  <c r="V55" i="1"/>
  <c r="P55" i="1"/>
  <c r="P246" i="1" s="1"/>
  <c r="P292" i="1" s="1"/>
  <c r="F84" i="1"/>
  <c r="K85" i="1"/>
  <c r="J85" i="1"/>
  <c r="F74" i="1"/>
  <c r="F65" i="1"/>
  <c r="H63" i="8" s="1"/>
  <c r="J66" i="1"/>
  <c r="O66" i="1"/>
  <c r="F60" i="1"/>
  <c r="S51" i="1"/>
  <c r="F42" i="1"/>
  <c r="K42" i="1"/>
  <c r="F33" i="1"/>
  <c r="Q214" i="1" l="1"/>
  <c r="Q236" i="1" s="1"/>
  <c r="Q267" i="1"/>
  <c r="Q313" i="1" s="1"/>
  <c r="Q265" i="1"/>
  <c r="Q311" i="1" s="1"/>
  <c r="Q263" i="1"/>
  <c r="Q309" i="1" s="1"/>
  <c r="Q259" i="1"/>
  <c r="Q305" i="1" s="1"/>
  <c r="Q258" i="1"/>
  <c r="Q304" i="1" s="1"/>
  <c r="Q254" i="1"/>
  <c r="Q300" i="1" s="1"/>
  <c r="Q256" i="1"/>
  <c r="Q302" i="1" s="1"/>
  <c r="Q251" i="1"/>
  <c r="Q297" i="1" s="1"/>
  <c r="Q250" i="1"/>
  <c r="Q296" i="1" s="1"/>
  <c r="Q249" i="1"/>
  <c r="Q295" i="1" s="1"/>
  <c r="Q248" i="1"/>
  <c r="Q294" i="1" s="1"/>
  <c r="Q245" i="1"/>
  <c r="Q291" i="1" s="1"/>
  <c r="Q244" i="1"/>
  <c r="Q290" i="1" s="1"/>
  <c r="Q243" i="1"/>
  <c r="Q289" i="1" s="1"/>
  <c r="Q269" i="1"/>
  <c r="Q315" i="1" s="1"/>
  <c r="Q246" i="1"/>
  <c r="Q292" i="1" s="1"/>
  <c r="Q260" i="1"/>
  <c r="Q306" i="1" s="1"/>
  <c r="Q270" i="1"/>
  <c r="Q316" i="1" s="1"/>
  <c r="Q252" i="1"/>
  <c r="Q298" i="1" s="1"/>
  <c r="U148" i="1"/>
  <c r="H58" i="8"/>
  <c r="U126" i="1"/>
  <c r="H36" i="8"/>
  <c r="L36" i="8" s="1"/>
  <c r="O252" i="1"/>
  <c r="O298" i="1" s="1"/>
  <c r="N87" i="1"/>
  <c r="N273" i="1" s="1"/>
  <c r="N319" i="1" s="1"/>
  <c r="J83" i="9"/>
  <c r="U261" i="1"/>
  <c r="U307" i="1" s="1"/>
  <c r="J82" i="9"/>
  <c r="J64" i="9"/>
  <c r="O121" i="1"/>
  <c r="H31" i="8"/>
  <c r="L31" i="8" s="1"/>
  <c r="P226" i="1"/>
  <c r="P269" i="1"/>
  <c r="P315" i="1" s="1"/>
  <c r="P267" i="1"/>
  <c r="P313" i="1" s="1"/>
  <c r="P258" i="1"/>
  <c r="P304" i="1" s="1"/>
  <c r="P254" i="1"/>
  <c r="P300" i="1" s="1"/>
  <c r="P251" i="1"/>
  <c r="P297" i="1" s="1"/>
  <c r="P263" i="1"/>
  <c r="P309" i="1" s="1"/>
  <c r="P259" i="1"/>
  <c r="P305" i="1" s="1"/>
  <c r="P256" i="1"/>
  <c r="P302" i="1" s="1"/>
  <c r="P265" i="1"/>
  <c r="P311" i="1" s="1"/>
  <c r="P250" i="1"/>
  <c r="P296" i="1" s="1"/>
  <c r="P248" i="1"/>
  <c r="P294" i="1" s="1"/>
  <c r="P245" i="1"/>
  <c r="P291" i="1" s="1"/>
  <c r="P244" i="1"/>
  <c r="P290" i="1" s="1"/>
  <c r="P243" i="1"/>
  <c r="P289" i="1" s="1"/>
  <c r="P249" i="1"/>
  <c r="P295" i="1" s="1"/>
  <c r="G53" i="9"/>
  <c r="P130" i="1"/>
  <c r="H40" i="8"/>
  <c r="L40" i="8" s="1"/>
  <c r="V218" i="1"/>
  <c r="V237" i="1" s="1"/>
  <c r="V267" i="1"/>
  <c r="V313" i="1" s="1"/>
  <c r="V265" i="1"/>
  <c r="V311" i="1" s="1"/>
  <c r="V263" i="1"/>
  <c r="V309" i="1" s="1"/>
  <c r="V269" i="1"/>
  <c r="V315" i="1" s="1"/>
  <c r="V245" i="1"/>
  <c r="V291" i="1" s="1"/>
  <c r="V244" i="1"/>
  <c r="V290" i="1" s="1"/>
  <c r="V259" i="1"/>
  <c r="V305" i="1" s="1"/>
  <c r="V258" i="1"/>
  <c r="V304" i="1" s="1"/>
  <c r="V254" i="1"/>
  <c r="V300" i="1" s="1"/>
  <c r="V256" i="1"/>
  <c r="V302" i="1" s="1"/>
  <c r="V251" i="1"/>
  <c r="V297" i="1" s="1"/>
  <c r="V250" i="1"/>
  <c r="V296" i="1" s="1"/>
  <c r="V249" i="1"/>
  <c r="V295" i="1" s="1"/>
  <c r="V248" i="1"/>
  <c r="V294" i="1" s="1"/>
  <c r="V243" i="1"/>
  <c r="V289" i="1" s="1"/>
  <c r="V220" i="1"/>
  <c r="V238" i="1" s="1"/>
  <c r="Q261" i="1"/>
  <c r="Q307" i="1" s="1"/>
  <c r="I220" i="1"/>
  <c r="I238" i="1" s="1"/>
  <c r="I269" i="1"/>
  <c r="I315" i="1" s="1"/>
  <c r="I267" i="1"/>
  <c r="I313" i="1" s="1"/>
  <c r="I265" i="1"/>
  <c r="I311" i="1" s="1"/>
  <c r="I263" i="1"/>
  <c r="I309" i="1" s="1"/>
  <c r="I259" i="1"/>
  <c r="I305" i="1" s="1"/>
  <c r="I258" i="1"/>
  <c r="I304" i="1" s="1"/>
  <c r="I254" i="1"/>
  <c r="I256" i="1"/>
  <c r="I302" i="1" s="1"/>
  <c r="I251" i="1"/>
  <c r="I297" i="1" s="1"/>
  <c r="I250" i="1"/>
  <c r="I296" i="1" s="1"/>
  <c r="I249" i="1"/>
  <c r="I295" i="1" s="1"/>
  <c r="I248" i="1"/>
  <c r="I294" i="1" s="1"/>
  <c r="I245" i="1"/>
  <c r="I291" i="1" s="1"/>
  <c r="I244" i="1"/>
  <c r="I290" i="1" s="1"/>
  <c r="I243" i="1"/>
  <c r="I289" i="1" s="1"/>
  <c r="I270" i="1"/>
  <c r="I316" i="1" s="1"/>
  <c r="I260" i="1"/>
  <c r="I306" i="1" s="1"/>
  <c r="I252" i="1"/>
  <c r="I298" i="1" s="1"/>
  <c r="I246" i="1"/>
  <c r="I292" i="1" s="1"/>
  <c r="P270" i="1"/>
  <c r="P316" i="1" s="1"/>
  <c r="I261" i="1"/>
  <c r="I307" i="1" s="1"/>
  <c r="P260" i="1"/>
  <c r="P306" i="1" s="1"/>
  <c r="P252" i="1"/>
  <c r="P298" i="1" s="1"/>
  <c r="V270" i="1"/>
  <c r="V316" i="1" s="1"/>
  <c r="U162" i="1"/>
  <c r="H72" i="8"/>
  <c r="J58" i="9"/>
  <c r="O172" i="1"/>
  <c r="H82" i="8"/>
  <c r="P261" i="1"/>
  <c r="P307" i="1" s="1"/>
  <c r="G73" i="9"/>
  <c r="J73" i="9" s="1"/>
  <c r="U209" i="1"/>
  <c r="U235" i="1" s="1"/>
  <c r="U267" i="1"/>
  <c r="U313" i="1" s="1"/>
  <c r="U265" i="1"/>
  <c r="U311" i="1" s="1"/>
  <c r="U263" i="1"/>
  <c r="U309" i="1" s="1"/>
  <c r="U269" i="1"/>
  <c r="U315" i="1" s="1"/>
  <c r="U259" i="1"/>
  <c r="U305" i="1" s="1"/>
  <c r="U258" i="1"/>
  <c r="U304" i="1" s="1"/>
  <c r="U254" i="1"/>
  <c r="U300" i="1" s="1"/>
  <c r="U256" i="1"/>
  <c r="U302" i="1" s="1"/>
  <c r="U251" i="1"/>
  <c r="U297" i="1" s="1"/>
  <c r="U250" i="1"/>
  <c r="U296" i="1" s="1"/>
  <c r="U249" i="1"/>
  <c r="U295" i="1" s="1"/>
  <c r="U248" i="1"/>
  <c r="U294" i="1" s="1"/>
  <c r="U245" i="1"/>
  <c r="U291" i="1" s="1"/>
  <c r="U244" i="1"/>
  <c r="U290" i="1" s="1"/>
  <c r="U243" i="1"/>
  <c r="U289" i="1" s="1"/>
  <c r="S261" i="1"/>
  <c r="S307" i="1" s="1"/>
  <c r="U270" i="1"/>
  <c r="U316" i="1" s="1"/>
  <c r="U260" i="1"/>
  <c r="U306" i="1" s="1"/>
  <c r="U252" i="1"/>
  <c r="U298" i="1" s="1"/>
  <c r="V246" i="1"/>
  <c r="V292" i="1" s="1"/>
  <c r="V25" i="2"/>
  <c r="V133" i="2" s="1"/>
  <c r="T34" i="2"/>
  <c r="S141" i="2"/>
  <c r="H156" i="2"/>
  <c r="G20" i="2"/>
  <c r="G29" i="2" s="1"/>
  <c r="R69" i="2"/>
  <c r="R123" i="2"/>
  <c r="S33" i="2"/>
  <c r="I283" i="1"/>
  <c r="I329" i="1" s="1"/>
  <c r="I284" i="1"/>
  <c r="I330" i="1" s="1"/>
  <c r="I273" i="1"/>
  <c r="I319" i="1" s="1"/>
  <c r="I278" i="1"/>
  <c r="I324" i="1" s="1"/>
  <c r="I277" i="1"/>
  <c r="I323" i="1" s="1"/>
  <c r="L162" i="1"/>
  <c r="I281" i="1"/>
  <c r="I327" i="1" s="1"/>
  <c r="I271" i="1"/>
  <c r="V226" i="1"/>
  <c r="O126" i="1"/>
  <c r="K271" i="1"/>
  <c r="U87" i="1"/>
  <c r="U281" i="1" s="1"/>
  <c r="U327" i="1" s="1"/>
  <c r="I89" i="1"/>
  <c r="V87" i="1"/>
  <c r="V271" i="1" s="1"/>
  <c r="Q87" i="1"/>
  <c r="Q271" i="1" s="1"/>
  <c r="Q218" i="1"/>
  <c r="Q237" i="1" s="1"/>
  <c r="Q226" i="1"/>
  <c r="R55" i="1"/>
  <c r="J162" i="1"/>
  <c r="V227" i="1"/>
  <c r="V239" i="1" s="1"/>
  <c r="T55" i="1"/>
  <c r="T261" i="1" s="1"/>
  <c r="L126" i="1"/>
  <c r="U218" i="1"/>
  <c r="U237" i="1" s="1"/>
  <c r="V214" i="1"/>
  <c r="V236" i="1" s="1"/>
  <c r="V209" i="1"/>
  <c r="V235" i="1" s="1"/>
  <c r="U201" i="1"/>
  <c r="Q201" i="1"/>
  <c r="Q209" i="1"/>
  <c r="Q235" i="1" s="1"/>
  <c r="V201" i="1"/>
  <c r="T220" i="1"/>
  <c r="T238" i="1" s="1"/>
  <c r="M55" i="1"/>
  <c r="M227" i="1"/>
  <c r="M239" i="1" s="1"/>
  <c r="U227" i="1"/>
  <c r="U239" i="1" s="1"/>
  <c r="N55" i="1"/>
  <c r="P227" i="1"/>
  <c r="P239" i="1" s="1"/>
  <c r="U220" i="1"/>
  <c r="U238" i="1" s="1"/>
  <c r="P214" i="1"/>
  <c r="P236" i="1" s="1"/>
  <c r="U214" i="1"/>
  <c r="U236" i="1" s="1"/>
  <c r="Q217" i="1"/>
  <c r="Q216" i="1"/>
  <c r="Q231" i="1"/>
  <c r="Q229" i="1"/>
  <c r="Q208" i="1"/>
  <c r="Q207" i="1"/>
  <c r="Q206" i="1"/>
  <c r="Q205" i="1"/>
  <c r="Q204" i="1"/>
  <c r="Q203" i="1"/>
  <c r="Q200" i="1"/>
  <c r="Q199" i="1"/>
  <c r="Q198" i="1"/>
  <c r="Q197" i="1"/>
  <c r="Q225" i="1"/>
  <c r="Q224" i="1"/>
  <c r="Q223" i="1"/>
  <c r="Q222" i="1"/>
  <c r="Q213" i="1"/>
  <c r="Q212" i="1"/>
  <c r="Q211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96" i="1"/>
  <c r="M87" i="1"/>
  <c r="U217" i="1"/>
  <c r="U216" i="1"/>
  <c r="U213" i="1"/>
  <c r="U231" i="1"/>
  <c r="U229" i="1"/>
  <c r="U225" i="1"/>
  <c r="U224" i="1"/>
  <c r="U223" i="1"/>
  <c r="U222" i="1"/>
  <c r="U208" i="1"/>
  <c r="U207" i="1"/>
  <c r="U206" i="1"/>
  <c r="U205" i="1"/>
  <c r="U204" i="1"/>
  <c r="U203" i="1"/>
  <c r="U200" i="1"/>
  <c r="U199" i="1"/>
  <c r="U198" i="1"/>
  <c r="U197" i="1"/>
  <c r="U196" i="1"/>
  <c r="U211" i="1"/>
  <c r="U195" i="1"/>
  <c r="U194" i="1"/>
  <c r="U193" i="1"/>
  <c r="U192" i="1"/>
  <c r="U191" i="1"/>
  <c r="U190" i="1"/>
  <c r="U189" i="1"/>
  <c r="U188" i="1"/>
  <c r="U187" i="1"/>
  <c r="U186" i="1"/>
  <c r="U185" i="1"/>
  <c r="U184" i="1"/>
  <c r="U183" i="1"/>
  <c r="U182" i="1"/>
  <c r="U212" i="1"/>
  <c r="Q220" i="1"/>
  <c r="Q238" i="1" s="1"/>
  <c r="P225" i="1"/>
  <c r="P224" i="1"/>
  <c r="P223" i="1"/>
  <c r="P222" i="1"/>
  <c r="P231" i="1"/>
  <c r="P229" i="1"/>
  <c r="P217" i="1"/>
  <c r="P216" i="1"/>
  <c r="P208" i="1"/>
  <c r="P207" i="1"/>
  <c r="P206" i="1"/>
  <c r="P205" i="1"/>
  <c r="P204" i="1"/>
  <c r="P203" i="1"/>
  <c r="P200" i="1"/>
  <c r="P199" i="1"/>
  <c r="P198" i="1"/>
  <c r="P197" i="1"/>
  <c r="P196" i="1"/>
  <c r="P211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213" i="1"/>
  <c r="P212" i="1"/>
  <c r="V225" i="1"/>
  <c r="V224" i="1"/>
  <c r="V223" i="1"/>
  <c r="V222" i="1"/>
  <c r="V231" i="1"/>
  <c r="V229" i="1"/>
  <c r="V208" i="1"/>
  <c r="V207" i="1"/>
  <c r="V206" i="1"/>
  <c r="V205" i="1"/>
  <c r="V204" i="1"/>
  <c r="V203" i="1"/>
  <c r="V200" i="1"/>
  <c r="V199" i="1"/>
  <c r="V198" i="1"/>
  <c r="V197" i="1"/>
  <c r="V212" i="1"/>
  <c r="V211" i="1"/>
  <c r="V217" i="1"/>
  <c r="V216" i="1"/>
  <c r="V213" i="1"/>
  <c r="V196" i="1"/>
  <c r="V184" i="1"/>
  <c r="V182" i="1"/>
  <c r="V195" i="1"/>
  <c r="V194" i="1"/>
  <c r="V193" i="1"/>
  <c r="V192" i="1"/>
  <c r="V191" i="1"/>
  <c r="V190" i="1"/>
  <c r="V189" i="1"/>
  <c r="V188" i="1"/>
  <c r="V187" i="1"/>
  <c r="V186" i="1"/>
  <c r="V185" i="1"/>
  <c r="V183" i="1"/>
  <c r="P220" i="1"/>
  <c r="P238" i="1" s="1"/>
  <c r="R220" i="1"/>
  <c r="R238" i="1" s="1"/>
  <c r="T162" i="1"/>
  <c r="Q227" i="1"/>
  <c r="Q239" i="1" s="1"/>
  <c r="W55" i="1"/>
  <c r="W261" i="1" s="1"/>
  <c r="W307" i="1" s="1"/>
  <c r="M126" i="1"/>
  <c r="S126" i="1"/>
  <c r="S87" i="1"/>
  <c r="S281" i="1" s="1"/>
  <c r="S327" i="1" s="1"/>
  <c r="L55" i="1"/>
  <c r="W126" i="1"/>
  <c r="P201" i="1"/>
  <c r="I217" i="1"/>
  <c r="I216" i="1"/>
  <c r="I229" i="1"/>
  <c r="I182" i="1"/>
  <c r="I231" i="1"/>
  <c r="I213" i="1"/>
  <c r="I212" i="1"/>
  <c r="I211" i="1"/>
  <c r="I208" i="1"/>
  <c r="I207" i="1"/>
  <c r="I206" i="1"/>
  <c r="I205" i="1"/>
  <c r="I204" i="1"/>
  <c r="I203" i="1"/>
  <c r="I200" i="1"/>
  <c r="I199" i="1"/>
  <c r="I198" i="1"/>
  <c r="I197" i="1"/>
  <c r="I225" i="1"/>
  <c r="I224" i="1"/>
  <c r="I223" i="1"/>
  <c r="I222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209" i="1"/>
  <c r="I235" i="1" s="1"/>
  <c r="I201" i="1"/>
  <c r="I226" i="1"/>
  <c r="I218" i="1"/>
  <c r="I237" i="1" s="1"/>
  <c r="I214" i="1"/>
  <c r="I236" i="1" s="1"/>
  <c r="P218" i="1"/>
  <c r="P237" i="1" s="1"/>
  <c r="U226" i="1"/>
  <c r="P209" i="1"/>
  <c r="P235" i="1" s="1"/>
  <c r="M130" i="1"/>
  <c r="S130" i="1"/>
  <c r="P126" i="1"/>
  <c r="Q126" i="1"/>
  <c r="P87" i="1"/>
  <c r="G85" i="9" s="1"/>
  <c r="J85" i="9" s="1"/>
  <c r="T87" i="1"/>
  <c r="O130" i="1"/>
  <c r="L130" i="1"/>
  <c r="T126" i="1"/>
  <c r="M162" i="1"/>
  <c r="J126" i="1"/>
  <c r="Q162" i="1"/>
  <c r="L80" i="2"/>
  <c r="F66" i="1"/>
  <c r="K153" i="1"/>
  <c r="O153" i="1"/>
  <c r="S153" i="1"/>
  <c r="W153" i="1"/>
  <c r="M153" i="1"/>
  <c r="R153" i="1"/>
  <c r="X153" i="1"/>
  <c r="J153" i="1"/>
  <c r="U153" i="1"/>
  <c r="I153" i="1"/>
  <c r="N153" i="1"/>
  <c r="F153" i="1"/>
  <c r="P153" i="1"/>
  <c r="V153" i="1"/>
  <c r="L153" i="1"/>
  <c r="Q153" i="1"/>
  <c r="F51" i="1"/>
  <c r="F138" i="1"/>
  <c r="I138" i="1"/>
  <c r="F113" i="1"/>
  <c r="I113" i="1"/>
  <c r="L148" i="1"/>
  <c r="M138" i="1"/>
  <c r="J148" i="1"/>
  <c r="N138" i="1"/>
  <c r="R172" i="1"/>
  <c r="K172" i="1"/>
  <c r="N148" i="1"/>
  <c r="T113" i="1"/>
  <c r="K55" i="1"/>
  <c r="K130" i="1"/>
  <c r="P148" i="1"/>
  <c r="R121" i="1"/>
  <c r="X113" i="1"/>
  <c r="S148" i="1"/>
  <c r="Q172" i="1"/>
  <c r="S172" i="1"/>
  <c r="S162" i="1"/>
  <c r="T138" i="1"/>
  <c r="V162" i="1"/>
  <c r="V148" i="1"/>
  <c r="U172" i="1"/>
  <c r="R138" i="1"/>
  <c r="H42" i="1"/>
  <c r="F130" i="1"/>
  <c r="I130" i="1"/>
  <c r="O87" i="1"/>
  <c r="O271" i="1" s="1"/>
  <c r="J55" i="1"/>
  <c r="J261" i="1" s="1"/>
  <c r="W87" i="1"/>
  <c r="X87" i="1"/>
  <c r="X162" i="1"/>
  <c r="P162" i="1"/>
  <c r="T148" i="1"/>
  <c r="Q138" i="1"/>
  <c r="W130" i="1"/>
  <c r="X126" i="1"/>
  <c r="P121" i="1"/>
  <c r="N113" i="1"/>
  <c r="V172" i="1"/>
  <c r="R162" i="1"/>
  <c r="W138" i="1"/>
  <c r="K138" i="1"/>
  <c r="Q130" i="1"/>
  <c r="R126" i="1"/>
  <c r="V121" i="1"/>
  <c r="N172" i="1"/>
  <c r="V138" i="1"/>
  <c r="N130" i="1"/>
  <c r="T130" i="1"/>
  <c r="W113" i="1"/>
  <c r="S138" i="1"/>
  <c r="V130" i="1"/>
  <c r="M113" i="1"/>
  <c r="F121" i="1"/>
  <c r="I121" i="1"/>
  <c r="F148" i="1"/>
  <c r="I148" i="1"/>
  <c r="F85" i="1"/>
  <c r="F172" i="1"/>
  <c r="I172" i="1"/>
  <c r="U138" i="1"/>
  <c r="X121" i="1"/>
  <c r="V113" i="1"/>
  <c r="O138" i="1"/>
  <c r="N121" i="1"/>
  <c r="P113" i="1"/>
  <c r="K148" i="1"/>
  <c r="S121" i="1"/>
  <c r="Q113" i="1"/>
  <c r="M148" i="1"/>
  <c r="Q121" i="1"/>
  <c r="O113" i="1"/>
  <c r="W148" i="1"/>
  <c r="F75" i="1"/>
  <c r="H73" i="8" s="1"/>
  <c r="F162" i="1"/>
  <c r="I162" i="1"/>
  <c r="T172" i="1"/>
  <c r="L121" i="1"/>
  <c r="J113" i="1"/>
  <c r="R148" i="1"/>
  <c r="K162" i="1"/>
  <c r="Q148" i="1"/>
  <c r="L138" i="1"/>
  <c r="U121" i="1"/>
  <c r="S113" i="1"/>
  <c r="S55" i="1"/>
  <c r="S139" i="1"/>
  <c r="K87" i="1"/>
  <c r="O55" i="1"/>
  <c r="O261" i="1" s="1"/>
  <c r="X55" i="1"/>
  <c r="L87" i="1"/>
  <c r="L271" i="1" s="1"/>
  <c r="R87" i="1"/>
  <c r="R271" i="1" s="1"/>
  <c r="H38" i="1"/>
  <c r="F126" i="1"/>
  <c r="I126" i="1"/>
  <c r="X172" i="1"/>
  <c r="M172" i="1"/>
  <c r="X163" i="1"/>
  <c r="X148" i="1"/>
  <c r="J130" i="1"/>
  <c r="K126" i="1"/>
  <c r="T121" i="1"/>
  <c r="R113" i="1"/>
  <c r="U130" i="1"/>
  <c r="V126" i="1"/>
  <c r="J121" i="1"/>
  <c r="L113" i="1"/>
  <c r="N173" i="1"/>
  <c r="R130" i="1"/>
  <c r="K121" i="1"/>
  <c r="W172" i="1"/>
  <c r="L172" i="1"/>
  <c r="W162" i="1"/>
  <c r="O162" i="1"/>
  <c r="X138" i="1"/>
  <c r="P138" i="1"/>
  <c r="X130" i="1"/>
  <c r="M121" i="1"/>
  <c r="K113" i="1"/>
  <c r="O173" i="1"/>
  <c r="N162" i="1"/>
  <c r="P172" i="1"/>
  <c r="J172" i="1"/>
  <c r="U163" i="1"/>
  <c r="T153" i="1"/>
  <c r="O148" i="1"/>
  <c r="J138" i="1"/>
  <c r="N126" i="1"/>
  <c r="W121" i="1"/>
  <c r="U113" i="1"/>
  <c r="P5" i="3"/>
  <c r="O9" i="3"/>
  <c r="U104" i="2"/>
  <c r="R130" i="2"/>
  <c r="R112" i="2"/>
  <c r="T24" i="2"/>
  <c r="T74" i="2" s="1"/>
  <c r="S66" i="2"/>
  <c r="I52" i="2"/>
  <c r="I100" i="2"/>
  <c r="L100" i="2" s="1"/>
  <c r="I101" i="2"/>
  <c r="L101" i="2" s="1"/>
  <c r="S74" i="2"/>
  <c r="O100" i="2"/>
  <c r="S132" i="2"/>
  <c r="N3" i="2"/>
  <c r="H3" i="3" s="1"/>
  <c r="M6" i="2"/>
  <c r="I53" i="2"/>
  <c r="L53" i="2" s="1"/>
  <c r="I55" i="2"/>
  <c r="L55" i="2" s="1"/>
  <c r="I57" i="2"/>
  <c r="L57" i="2" s="1"/>
  <c r="M57" i="2" s="1"/>
  <c r="I56" i="2"/>
  <c r="L56" i="2" s="1"/>
  <c r="I54" i="2"/>
  <c r="L54" i="2" s="1"/>
  <c r="I58" i="2"/>
  <c r="L58" i="2" s="1"/>
  <c r="H91" i="2"/>
  <c r="I16" i="2"/>
  <c r="L16" i="2" s="1"/>
  <c r="I59" i="2"/>
  <c r="L59" i="2" s="1"/>
  <c r="I15" i="2"/>
  <c r="L15" i="2" s="1"/>
  <c r="I11" i="2"/>
  <c r="L11" i="2" s="1"/>
  <c r="I12" i="2"/>
  <c r="L12" i="2" s="1"/>
  <c r="I89" i="2"/>
  <c r="I61" i="2" s="1"/>
  <c r="M61" i="2" s="1"/>
  <c r="L87" i="2"/>
  <c r="K44" i="1"/>
  <c r="K220" i="1" s="1"/>
  <c r="K238" i="1" s="1"/>
  <c r="G75" i="1"/>
  <c r="G87" i="1" s="1"/>
  <c r="G25" i="1"/>
  <c r="G55" i="1" s="1"/>
  <c r="L89" i="1"/>
  <c r="J87" i="1"/>
  <c r="K89" i="1"/>
  <c r="T89" i="1"/>
  <c r="U89" i="1"/>
  <c r="Q89" i="1"/>
  <c r="M89" i="1"/>
  <c r="O89" i="1"/>
  <c r="O307" i="1" l="1"/>
  <c r="O281" i="1"/>
  <c r="O327" i="1" s="1"/>
  <c r="J307" i="1"/>
  <c r="J281" i="1"/>
  <c r="J327" i="1" s="1"/>
  <c r="T307" i="1"/>
  <c r="T281" i="1"/>
  <c r="T327" i="1" s="1"/>
  <c r="O285" i="1"/>
  <c r="O331" i="1" s="1"/>
  <c r="O317" i="1"/>
  <c r="L285" i="1"/>
  <c r="L331" i="1" s="1"/>
  <c r="L317" i="1"/>
  <c r="X220" i="1"/>
  <c r="X238" i="1" s="1"/>
  <c r="X269" i="1"/>
  <c r="X315" i="1" s="1"/>
  <c r="X259" i="1"/>
  <c r="X305" i="1" s="1"/>
  <c r="X249" i="1"/>
  <c r="X295" i="1" s="1"/>
  <c r="X267" i="1"/>
  <c r="X313" i="1" s="1"/>
  <c r="X265" i="1"/>
  <c r="X311" i="1" s="1"/>
  <c r="X263" i="1"/>
  <c r="X309" i="1" s="1"/>
  <c r="X254" i="1"/>
  <c r="X300" i="1" s="1"/>
  <c r="X251" i="1"/>
  <c r="X297" i="1" s="1"/>
  <c r="X258" i="1"/>
  <c r="X304" i="1" s="1"/>
  <c r="X256" i="1"/>
  <c r="X302" i="1" s="1"/>
  <c r="X250" i="1"/>
  <c r="X296" i="1" s="1"/>
  <c r="X244" i="1"/>
  <c r="X290" i="1" s="1"/>
  <c r="X245" i="1"/>
  <c r="X291" i="1" s="1"/>
  <c r="X248" i="1"/>
  <c r="X294" i="1" s="1"/>
  <c r="X243" i="1"/>
  <c r="X289" i="1" s="1"/>
  <c r="X246" i="1"/>
  <c r="X292" i="1" s="1"/>
  <c r="X260" i="1"/>
  <c r="X306" i="1" s="1"/>
  <c r="X270" i="1"/>
  <c r="X316" i="1" s="1"/>
  <c r="X252" i="1"/>
  <c r="X298" i="1" s="1"/>
  <c r="S227" i="1"/>
  <c r="S239" i="1" s="1"/>
  <c r="S267" i="1"/>
  <c r="S313" i="1" s="1"/>
  <c r="S265" i="1"/>
  <c r="S311" i="1" s="1"/>
  <c r="S263" i="1"/>
  <c r="S309" i="1" s="1"/>
  <c r="S269" i="1"/>
  <c r="S315" i="1" s="1"/>
  <c r="S259" i="1"/>
  <c r="S305" i="1" s="1"/>
  <c r="S258" i="1"/>
  <c r="S304" i="1" s="1"/>
  <c r="S254" i="1"/>
  <c r="S300" i="1" s="1"/>
  <c r="S256" i="1"/>
  <c r="S302" i="1" s="1"/>
  <c r="S251" i="1"/>
  <c r="S297" i="1" s="1"/>
  <c r="S250" i="1"/>
  <c r="S296" i="1" s="1"/>
  <c r="S249" i="1"/>
  <c r="S295" i="1" s="1"/>
  <c r="S248" i="1"/>
  <c r="S294" i="1" s="1"/>
  <c r="S245" i="1"/>
  <c r="S291" i="1" s="1"/>
  <c r="S244" i="1"/>
  <c r="S290" i="1" s="1"/>
  <c r="S243" i="1"/>
  <c r="S289" i="1" s="1"/>
  <c r="S260" i="1"/>
  <c r="S306" i="1" s="1"/>
  <c r="S270" i="1"/>
  <c r="S316" i="1" s="1"/>
  <c r="S246" i="1"/>
  <c r="S292" i="1" s="1"/>
  <c r="S252" i="1"/>
  <c r="S298" i="1" s="1"/>
  <c r="R173" i="1"/>
  <c r="H83" i="8"/>
  <c r="K267" i="1"/>
  <c r="K313" i="1" s="1"/>
  <c r="K265" i="1"/>
  <c r="K311" i="1" s="1"/>
  <c r="K263" i="1"/>
  <c r="K309" i="1" s="1"/>
  <c r="K269" i="1"/>
  <c r="K315" i="1" s="1"/>
  <c r="K259" i="1"/>
  <c r="K305" i="1" s="1"/>
  <c r="K258" i="1"/>
  <c r="K304" i="1" s="1"/>
  <c r="K254" i="1"/>
  <c r="K300" i="1" s="1"/>
  <c r="K256" i="1"/>
  <c r="K302" i="1" s="1"/>
  <c r="K251" i="1"/>
  <c r="K297" i="1" s="1"/>
  <c r="K250" i="1"/>
  <c r="K296" i="1" s="1"/>
  <c r="K249" i="1"/>
  <c r="K295" i="1" s="1"/>
  <c r="K248" i="1"/>
  <c r="K294" i="1" s="1"/>
  <c r="K245" i="1"/>
  <c r="K291" i="1" s="1"/>
  <c r="K244" i="1"/>
  <c r="K290" i="1" s="1"/>
  <c r="K243" i="1"/>
  <c r="K289" i="1" s="1"/>
  <c r="K270" i="1"/>
  <c r="K316" i="1" s="1"/>
  <c r="K246" i="1"/>
  <c r="K292" i="1" s="1"/>
  <c r="K260" i="1"/>
  <c r="K306" i="1" s="1"/>
  <c r="K252" i="1"/>
  <c r="K298" i="1" s="1"/>
  <c r="M220" i="1"/>
  <c r="M238" i="1" s="1"/>
  <c r="M267" i="1"/>
  <c r="M313" i="1" s="1"/>
  <c r="M265" i="1"/>
  <c r="M311" i="1" s="1"/>
  <c r="M263" i="1"/>
  <c r="M309" i="1" s="1"/>
  <c r="M269" i="1"/>
  <c r="M315" i="1" s="1"/>
  <c r="M259" i="1"/>
  <c r="M305" i="1" s="1"/>
  <c r="M258" i="1"/>
  <c r="M304" i="1" s="1"/>
  <c r="M254" i="1"/>
  <c r="M300" i="1" s="1"/>
  <c r="M256" i="1"/>
  <c r="M302" i="1" s="1"/>
  <c r="M251" i="1"/>
  <c r="M297" i="1" s="1"/>
  <c r="M250" i="1"/>
  <c r="M296" i="1" s="1"/>
  <c r="M249" i="1"/>
  <c r="M295" i="1" s="1"/>
  <c r="M248" i="1"/>
  <c r="M294" i="1" s="1"/>
  <c r="M245" i="1"/>
  <c r="M291" i="1" s="1"/>
  <c r="M244" i="1"/>
  <c r="M290" i="1" s="1"/>
  <c r="M243" i="1"/>
  <c r="M289" i="1" s="1"/>
  <c r="M246" i="1"/>
  <c r="M292" i="1" s="1"/>
  <c r="M252" i="1"/>
  <c r="M298" i="1" s="1"/>
  <c r="M270" i="1"/>
  <c r="M316" i="1" s="1"/>
  <c r="M260" i="1"/>
  <c r="M306" i="1" s="1"/>
  <c r="M271" i="1"/>
  <c r="U271" i="1"/>
  <c r="I280" i="1"/>
  <c r="I326" i="1" s="1"/>
  <c r="I300" i="1"/>
  <c r="I279" i="1"/>
  <c r="K261" i="1"/>
  <c r="K307" i="1" s="1"/>
  <c r="T252" i="1"/>
  <c r="T298" i="1" s="1"/>
  <c r="K285" i="1"/>
  <c r="K331" i="1" s="1"/>
  <c r="K317" i="1"/>
  <c r="W281" i="1"/>
  <c r="W327" i="1" s="1"/>
  <c r="X139" i="1"/>
  <c r="H49" i="8"/>
  <c r="L49" i="8" s="1"/>
  <c r="N227" i="1"/>
  <c r="N239" i="1" s="1"/>
  <c r="N267" i="1"/>
  <c r="N265" i="1"/>
  <c r="N263" i="1"/>
  <c r="N269" i="1"/>
  <c r="N315" i="1" s="1"/>
  <c r="N249" i="1"/>
  <c r="N295" i="1" s="1"/>
  <c r="N244" i="1"/>
  <c r="N290" i="1" s="1"/>
  <c r="N259" i="1"/>
  <c r="N305" i="1" s="1"/>
  <c r="N258" i="1"/>
  <c r="N304" i="1" s="1"/>
  <c r="N254" i="1"/>
  <c r="N256" i="1"/>
  <c r="N251" i="1"/>
  <c r="N297" i="1" s="1"/>
  <c r="N250" i="1"/>
  <c r="N296" i="1" s="1"/>
  <c r="N248" i="1"/>
  <c r="N294" i="1" s="1"/>
  <c r="N245" i="1"/>
  <c r="N291" i="1" s="1"/>
  <c r="N243" i="1"/>
  <c r="N289" i="1" s="1"/>
  <c r="N252" i="1"/>
  <c r="N270" i="1"/>
  <c r="N316" i="1" s="1"/>
  <c r="N260" i="1"/>
  <c r="N306" i="1" s="1"/>
  <c r="N246" i="1"/>
  <c r="R227" i="1"/>
  <c r="R239" i="1" s="1"/>
  <c r="R267" i="1"/>
  <c r="R313" i="1" s="1"/>
  <c r="R265" i="1"/>
  <c r="R311" i="1" s="1"/>
  <c r="R263" i="1"/>
  <c r="R309" i="1" s="1"/>
  <c r="R269" i="1"/>
  <c r="R315" i="1" s="1"/>
  <c r="R248" i="1"/>
  <c r="R294" i="1" s="1"/>
  <c r="R245" i="1"/>
  <c r="R291" i="1" s="1"/>
  <c r="R243" i="1"/>
  <c r="R289" i="1" s="1"/>
  <c r="R259" i="1"/>
  <c r="R305" i="1" s="1"/>
  <c r="R258" i="1"/>
  <c r="R304" i="1" s="1"/>
  <c r="R254" i="1"/>
  <c r="R300" i="1" s="1"/>
  <c r="R256" i="1"/>
  <c r="R302" i="1" s="1"/>
  <c r="R251" i="1"/>
  <c r="R297" i="1" s="1"/>
  <c r="R250" i="1"/>
  <c r="R296" i="1" s="1"/>
  <c r="R249" i="1"/>
  <c r="R295" i="1" s="1"/>
  <c r="R244" i="1"/>
  <c r="R290" i="1" s="1"/>
  <c r="R260" i="1"/>
  <c r="R306" i="1" s="1"/>
  <c r="R270" i="1"/>
  <c r="R316" i="1" s="1"/>
  <c r="R252" i="1"/>
  <c r="R298" i="1" s="1"/>
  <c r="R246" i="1"/>
  <c r="R292" i="1" s="1"/>
  <c r="Q285" i="1"/>
  <c r="Q331" i="1" s="1"/>
  <c r="Q317" i="1"/>
  <c r="W271" i="1"/>
  <c r="R261" i="1"/>
  <c r="R307" i="1" s="1"/>
  <c r="V285" i="1"/>
  <c r="V331" i="1" s="1"/>
  <c r="V317" i="1"/>
  <c r="V89" i="1"/>
  <c r="O227" i="1"/>
  <c r="O239" i="1" s="1"/>
  <c r="O267" i="1"/>
  <c r="O313" i="1" s="1"/>
  <c r="O265" i="1"/>
  <c r="O311" i="1" s="1"/>
  <c r="O263" i="1"/>
  <c r="O309" i="1" s="1"/>
  <c r="O269" i="1"/>
  <c r="O315" i="1" s="1"/>
  <c r="O259" i="1"/>
  <c r="O305" i="1" s="1"/>
  <c r="O258" i="1"/>
  <c r="O304" i="1" s="1"/>
  <c r="O254" i="1"/>
  <c r="O300" i="1" s="1"/>
  <c r="O256" i="1"/>
  <c r="O302" i="1" s="1"/>
  <c r="O251" i="1"/>
  <c r="O297" i="1" s="1"/>
  <c r="O250" i="1"/>
  <c r="O296" i="1" s="1"/>
  <c r="O249" i="1"/>
  <c r="O295" i="1" s="1"/>
  <c r="O248" i="1"/>
  <c r="O294" i="1" s="1"/>
  <c r="O245" i="1"/>
  <c r="O291" i="1" s="1"/>
  <c r="O244" i="1"/>
  <c r="O290" i="1" s="1"/>
  <c r="O243" i="1"/>
  <c r="O289" i="1" s="1"/>
  <c r="O270" i="1"/>
  <c r="O316" i="1" s="1"/>
  <c r="O246" i="1"/>
  <c r="O292" i="1" s="1"/>
  <c r="O260" i="1"/>
  <c r="O306" i="1" s="1"/>
  <c r="P89" i="1"/>
  <c r="G87" i="9" s="1"/>
  <c r="J87" i="9" s="1"/>
  <c r="R285" i="1"/>
  <c r="R331" i="1" s="1"/>
  <c r="R317" i="1"/>
  <c r="J267" i="1"/>
  <c r="J313" i="1" s="1"/>
  <c r="J265" i="1"/>
  <c r="J311" i="1" s="1"/>
  <c r="J269" i="1"/>
  <c r="J315" i="1" s="1"/>
  <c r="J248" i="1"/>
  <c r="J294" i="1" s="1"/>
  <c r="J245" i="1"/>
  <c r="J291" i="1" s="1"/>
  <c r="J244" i="1"/>
  <c r="J290" i="1" s="1"/>
  <c r="J243" i="1"/>
  <c r="J289" i="1" s="1"/>
  <c r="J263" i="1"/>
  <c r="J309" i="1" s="1"/>
  <c r="J259" i="1"/>
  <c r="J305" i="1" s="1"/>
  <c r="J258" i="1"/>
  <c r="J304" i="1" s="1"/>
  <c r="J254" i="1"/>
  <c r="J300" i="1" s="1"/>
  <c r="J256" i="1"/>
  <c r="J302" i="1" s="1"/>
  <c r="J251" i="1"/>
  <c r="J297" i="1" s="1"/>
  <c r="J250" i="1"/>
  <c r="J296" i="1" s="1"/>
  <c r="J249" i="1"/>
  <c r="J295" i="1" s="1"/>
  <c r="J246" i="1"/>
  <c r="J292" i="1" s="1"/>
  <c r="J270" i="1"/>
  <c r="J316" i="1" s="1"/>
  <c r="J260" i="1"/>
  <c r="J306" i="1" s="1"/>
  <c r="J218" i="1"/>
  <c r="J237" i="1" s="1"/>
  <c r="O154" i="1"/>
  <c r="H64" i="8"/>
  <c r="L220" i="1"/>
  <c r="L238" i="1" s="1"/>
  <c r="L269" i="1"/>
  <c r="L315" i="1" s="1"/>
  <c r="L267" i="1"/>
  <c r="L313" i="1" s="1"/>
  <c r="L265" i="1"/>
  <c r="L311" i="1" s="1"/>
  <c r="L263" i="1"/>
  <c r="L309" i="1" s="1"/>
  <c r="L259" i="1"/>
  <c r="L305" i="1" s="1"/>
  <c r="L249" i="1"/>
  <c r="L295" i="1" s="1"/>
  <c r="L254" i="1"/>
  <c r="L300" i="1" s="1"/>
  <c r="L251" i="1"/>
  <c r="L297" i="1" s="1"/>
  <c r="L250" i="1"/>
  <c r="L296" i="1" s="1"/>
  <c r="L258" i="1"/>
  <c r="L304" i="1" s="1"/>
  <c r="L256" i="1"/>
  <c r="L302" i="1" s="1"/>
  <c r="L248" i="1"/>
  <c r="L294" i="1" s="1"/>
  <c r="L245" i="1"/>
  <c r="L291" i="1" s="1"/>
  <c r="L244" i="1"/>
  <c r="L290" i="1" s="1"/>
  <c r="L243" i="1"/>
  <c r="L289" i="1" s="1"/>
  <c r="L246" i="1"/>
  <c r="L292" i="1" s="1"/>
  <c r="L260" i="1"/>
  <c r="L306" i="1" s="1"/>
  <c r="L252" i="1"/>
  <c r="L298" i="1" s="1"/>
  <c r="L270" i="1"/>
  <c r="L316" i="1" s="1"/>
  <c r="W267" i="1"/>
  <c r="W313" i="1" s="1"/>
  <c r="W265" i="1"/>
  <c r="W311" i="1" s="1"/>
  <c r="W263" i="1"/>
  <c r="W309" i="1" s="1"/>
  <c r="W269" i="1"/>
  <c r="W315" i="1" s="1"/>
  <c r="W259" i="1"/>
  <c r="W305" i="1" s="1"/>
  <c r="W258" i="1"/>
  <c r="W304" i="1" s="1"/>
  <c r="W254" i="1"/>
  <c r="W300" i="1" s="1"/>
  <c r="W256" i="1"/>
  <c r="W302" i="1" s="1"/>
  <c r="W251" i="1"/>
  <c r="W297" i="1" s="1"/>
  <c r="W250" i="1"/>
  <c r="W296" i="1" s="1"/>
  <c r="W249" i="1"/>
  <c r="W295" i="1" s="1"/>
  <c r="W248" i="1"/>
  <c r="W294" i="1" s="1"/>
  <c r="W245" i="1"/>
  <c r="W291" i="1" s="1"/>
  <c r="W244" i="1"/>
  <c r="W290" i="1" s="1"/>
  <c r="W243" i="1"/>
  <c r="W289" i="1" s="1"/>
  <c r="W246" i="1"/>
  <c r="W292" i="1" s="1"/>
  <c r="W260" i="1"/>
  <c r="W306" i="1" s="1"/>
  <c r="W270" i="1"/>
  <c r="W316" i="1" s="1"/>
  <c r="W252" i="1"/>
  <c r="W298" i="1" s="1"/>
  <c r="T227" i="1"/>
  <c r="T239" i="1" s="1"/>
  <c r="T269" i="1"/>
  <c r="T315" i="1" s="1"/>
  <c r="T256" i="1"/>
  <c r="T302" i="1" s="1"/>
  <c r="T250" i="1"/>
  <c r="T296" i="1" s="1"/>
  <c r="T258" i="1"/>
  <c r="T304" i="1" s="1"/>
  <c r="T267" i="1"/>
  <c r="T313" i="1" s="1"/>
  <c r="T265" i="1"/>
  <c r="T311" i="1" s="1"/>
  <c r="T263" i="1"/>
  <c r="T309" i="1" s="1"/>
  <c r="T259" i="1"/>
  <c r="T305" i="1" s="1"/>
  <c r="T254" i="1"/>
  <c r="T300" i="1" s="1"/>
  <c r="T249" i="1"/>
  <c r="T295" i="1" s="1"/>
  <c r="T248" i="1"/>
  <c r="T294" i="1" s="1"/>
  <c r="T245" i="1"/>
  <c r="T291" i="1" s="1"/>
  <c r="T244" i="1"/>
  <c r="T290" i="1" s="1"/>
  <c r="T243" i="1"/>
  <c r="T289" i="1" s="1"/>
  <c r="T251" i="1"/>
  <c r="T297" i="1" s="1"/>
  <c r="T260" i="1"/>
  <c r="T306" i="1" s="1"/>
  <c r="T270" i="1"/>
  <c r="T316" i="1" s="1"/>
  <c r="T246" i="1"/>
  <c r="T292" i="1" s="1"/>
  <c r="N271" i="1"/>
  <c r="I285" i="1"/>
  <c r="I331" i="1" s="1"/>
  <c r="I317" i="1"/>
  <c r="O278" i="1"/>
  <c r="O324" i="1" s="1"/>
  <c r="I282" i="1"/>
  <c r="I328" i="1" s="1"/>
  <c r="J252" i="1"/>
  <c r="J298" i="1" s="1"/>
  <c r="M261" i="1"/>
  <c r="M307" i="1" s="1"/>
  <c r="J66" i="9"/>
  <c r="J68" i="9"/>
  <c r="J77" i="9"/>
  <c r="J55" i="9"/>
  <c r="J61" i="9"/>
  <c r="J62" i="9"/>
  <c r="J57" i="9"/>
  <c r="J79" i="9"/>
  <c r="J56" i="9"/>
  <c r="J60" i="9"/>
  <c r="J63" i="9"/>
  <c r="J75" i="9"/>
  <c r="J70" i="9"/>
  <c r="J71" i="9"/>
  <c r="J81" i="9"/>
  <c r="J53" i="9"/>
  <c r="J72" i="9"/>
  <c r="N261" i="1"/>
  <c r="X261" i="1"/>
  <c r="X307" i="1" s="1"/>
  <c r="L261" i="1"/>
  <c r="H107" i="2"/>
  <c r="H62" i="2"/>
  <c r="M58" i="2"/>
  <c r="N58" i="2" s="1"/>
  <c r="O58" i="2" s="1"/>
  <c r="P58" i="2" s="1"/>
  <c r="Q58" i="2" s="1"/>
  <c r="R58" i="2" s="1"/>
  <c r="S58" i="2" s="1"/>
  <c r="T58" i="2" s="1"/>
  <c r="U58" i="2" s="1"/>
  <c r="V58" i="2" s="1"/>
  <c r="U34" i="2"/>
  <c r="T141" i="2"/>
  <c r="M55" i="2"/>
  <c r="M56" i="2"/>
  <c r="N56" i="2" s="1"/>
  <c r="O56" i="2" s="1"/>
  <c r="P56" i="2" s="1"/>
  <c r="Q56" i="2" s="1"/>
  <c r="R56" i="2" s="1"/>
  <c r="S56" i="2" s="1"/>
  <c r="T56" i="2" s="1"/>
  <c r="U56" i="2" s="1"/>
  <c r="V56" i="2" s="1"/>
  <c r="G42" i="2"/>
  <c r="M53" i="2"/>
  <c r="N53" i="2" s="1"/>
  <c r="O53" i="2" s="1"/>
  <c r="P53" i="2" s="1"/>
  <c r="Q53" i="2" s="1"/>
  <c r="R53" i="2" s="1"/>
  <c r="S53" i="2" s="1"/>
  <c r="T53" i="2" s="1"/>
  <c r="U53" i="2" s="1"/>
  <c r="V53" i="2" s="1"/>
  <c r="M54" i="2"/>
  <c r="N54" i="2" s="1"/>
  <c r="O54" i="2" s="1"/>
  <c r="P54" i="2" s="1"/>
  <c r="Q54" i="2" s="1"/>
  <c r="R54" i="2" s="1"/>
  <c r="S54" i="2" s="1"/>
  <c r="T54" i="2" s="1"/>
  <c r="U54" i="2" s="1"/>
  <c r="V54" i="2" s="1"/>
  <c r="S123" i="2"/>
  <c r="T33" i="2"/>
  <c r="T69" i="2" s="1"/>
  <c r="M52" i="2"/>
  <c r="N52" i="2" s="1"/>
  <c r="O52" i="2" s="1"/>
  <c r="P52" i="2" s="1"/>
  <c r="Q52" i="2" s="1"/>
  <c r="R52" i="2" s="1"/>
  <c r="S52" i="2" s="1"/>
  <c r="T52" i="2" s="1"/>
  <c r="U52" i="2" s="1"/>
  <c r="V52" i="2" s="1"/>
  <c r="S69" i="2"/>
  <c r="H96" i="2"/>
  <c r="H125" i="2"/>
  <c r="H104" i="2"/>
  <c r="J280" i="1"/>
  <c r="J326" i="1" s="1"/>
  <c r="J282" i="1"/>
  <c r="J328" i="1" s="1"/>
  <c r="J284" i="1"/>
  <c r="J330" i="1" s="1"/>
  <c r="J273" i="1"/>
  <c r="J319" i="1" s="1"/>
  <c r="J283" i="1"/>
  <c r="J329" i="1" s="1"/>
  <c r="J277" i="1"/>
  <c r="J323" i="1" s="1"/>
  <c r="W139" i="1"/>
  <c r="H44" i="1"/>
  <c r="M173" i="1"/>
  <c r="O280" i="1"/>
  <c r="O326" i="1" s="1"/>
  <c r="O279" i="1"/>
  <c r="O283" i="1"/>
  <c r="O329" i="1" s="1"/>
  <c r="O282" i="1"/>
  <c r="O328" i="1" s="1"/>
  <c r="O284" i="1"/>
  <c r="O330" i="1" s="1"/>
  <c r="O273" i="1"/>
  <c r="O319" i="1" s="1"/>
  <c r="O277" i="1"/>
  <c r="O323" i="1" s="1"/>
  <c r="T284" i="1"/>
  <c r="T330" i="1" s="1"/>
  <c r="T273" i="1"/>
  <c r="T319" i="1" s="1"/>
  <c r="T279" i="1"/>
  <c r="T282" i="1"/>
  <c r="T328" i="1" s="1"/>
  <c r="L227" i="1"/>
  <c r="L239" i="1" s="1"/>
  <c r="S220" i="1"/>
  <c r="S238" i="1" s="1"/>
  <c r="J278" i="1"/>
  <c r="J324" i="1" s="1"/>
  <c r="N89" i="1"/>
  <c r="V173" i="1"/>
  <c r="K173" i="1"/>
  <c r="X284" i="1"/>
  <c r="X330" i="1" s="1"/>
  <c r="X273" i="1"/>
  <c r="X319" i="1" s="1"/>
  <c r="X282" i="1"/>
  <c r="X328" i="1" s="1"/>
  <c r="X280" i="1"/>
  <c r="X326" i="1" s="1"/>
  <c r="X279" i="1"/>
  <c r="X278" i="1"/>
  <c r="X324" i="1" s="1"/>
  <c r="X277" i="1"/>
  <c r="X323" i="1" s="1"/>
  <c r="P280" i="1"/>
  <c r="P326" i="1" s="1"/>
  <c r="P284" i="1"/>
  <c r="P330" i="1" s="1"/>
  <c r="P273" i="1"/>
  <c r="P319" i="1" s="1"/>
  <c r="P283" i="1"/>
  <c r="P329" i="1" s="1"/>
  <c r="P282" i="1"/>
  <c r="P328" i="1" s="1"/>
  <c r="P279" i="1"/>
  <c r="P277" i="1"/>
  <c r="P323" i="1" s="1"/>
  <c r="P278" i="1"/>
  <c r="P324" i="1" s="1"/>
  <c r="M280" i="1"/>
  <c r="M326" i="1" s="1"/>
  <c r="M273" i="1"/>
  <c r="M319" i="1" s="1"/>
  <c r="M279" i="1"/>
  <c r="M283" i="1"/>
  <c r="M329" i="1" s="1"/>
  <c r="M282" i="1"/>
  <c r="M328" i="1" s="1"/>
  <c r="M277" i="1"/>
  <c r="M323" i="1" s="1"/>
  <c r="T278" i="1"/>
  <c r="T324" i="1" s="1"/>
  <c r="Q279" i="1"/>
  <c r="Q273" i="1"/>
  <c r="Q319" i="1" s="1"/>
  <c r="Q284" i="1"/>
  <c r="Q330" i="1" s="1"/>
  <c r="Q283" i="1"/>
  <c r="Q329" i="1" s="1"/>
  <c r="Q282" i="1"/>
  <c r="Q328" i="1" s="1"/>
  <c r="Q280" i="1"/>
  <c r="Q326" i="1" s="1"/>
  <c r="Q277" i="1"/>
  <c r="Q323" i="1" s="1"/>
  <c r="Q278" i="1"/>
  <c r="Q324" i="1" s="1"/>
  <c r="V279" i="1"/>
  <c r="V282" i="1"/>
  <c r="V328" i="1" s="1"/>
  <c r="V280" i="1"/>
  <c r="V326" i="1" s="1"/>
  <c r="V284" i="1"/>
  <c r="V330" i="1" s="1"/>
  <c r="V273" i="1"/>
  <c r="V319" i="1" s="1"/>
  <c r="V283" i="1"/>
  <c r="V329" i="1" s="1"/>
  <c r="V277" i="1"/>
  <c r="V323" i="1" s="1"/>
  <c r="V278" i="1"/>
  <c r="V324" i="1" s="1"/>
  <c r="T271" i="1"/>
  <c r="X271" i="1"/>
  <c r="P271" i="1"/>
  <c r="R89" i="1"/>
  <c r="R279" i="1"/>
  <c r="R280" i="1"/>
  <c r="R326" i="1" s="1"/>
  <c r="R282" i="1"/>
  <c r="R328" i="1" s="1"/>
  <c r="R284" i="1"/>
  <c r="R330" i="1" s="1"/>
  <c r="R273" i="1"/>
  <c r="R319" i="1" s="1"/>
  <c r="R283" i="1"/>
  <c r="R329" i="1" s="1"/>
  <c r="R278" i="1"/>
  <c r="R324" i="1" s="1"/>
  <c r="R277" i="1"/>
  <c r="R323" i="1" s="1"/>
  <c r="L280" i="1"/>
  <c r="L326" i="1" s="1"/>
  <c r="L279" i="1"/>
  <c r="L284" i="1"/>
  <c r="L330" i="1" s="1"/>
  <c r="L273" i="1"/>
  <c r="L319" i="1" s="1"/>
  <c r="L283" i="1"/>
  <c r="L329" i="1" s="1"/>
  <c r="L282" i="1"/>
  <c r="L328" i="1" s="1"/>
  <c r="L278" i="1"/>
  <c r="L324" i="1" s="1"/>
  <c r="L277" i="1"/>
  <c r="L323" i="1" s="1"/>
  <c r="K280" i="1"/>
  <c r="K326" i="1" s="1"/>
  <c r="K279" i="1"/>
  <c r="K282" i="1"/>
  <c r="K328" i="1" s="1"/>
  <c r="K273" i="1"/>
  <c r="K319" i="1" s="1"/>
  <c r="K284" i="1"/>
  <c r="K330" i="1" s="1"/>
  <c r="K278" i="1"/>
  <c r="K324" i="1" s="1"/>
  <c r="K277" i="1"/>
  <c r="K323" i="1" s="1"/>
  <c r="P173" i="1"/>
  <c r="L173" i="1"/>
  <c r="R139" i="1"/>
  <c r="L139" i="1"/>
  <c r="W280" i="1"/>
  <c r="W326" i="1" s="1"/>
  <c r="W279" i="1"/>
  <c r="W282" i="1"/>
  <c r="W328" i="1" s="1"/>
  <c r="W273" i="1"/>
  <c r="W319" i="1" s="1"/>
  <c r="W284" i="1"/>
  <c r="W330" i="1" s="1"/>
  <c r="W278" i="1"/>
  <c r="W324" i="1" s="1"/>
  <c r="W277" i="1"/>
  <c r="W323" i="1" s="1"/>
  <c r="X173" i="1"/>
  <c r="S280" i="1"/>
  <c r="S326" i="1" s="1"/>
  <c r="S279" i="1"/>
  <c r="S283" i="1"/>
  <c r="S329" i="1" s="1"/>
  <c r="S282" i="1"/>
  <c r="S328" i="1" s="1"/>
  <c r="S273" i="1"/>
  <c r="S319" i="1" s="1"/>
  <c r="S278" i="1"/>
  <c r="S324" i="1" s="1"/>
  <c r="S277" i="1"/>
  <c r="S323" i="1" s="1"/>
  <c r="N220" i="1"/>
  <c r="N238" i="1" s="1"/>
  <c r="V281" i="1"/>
  <c r="V327" i="1" s="1"/>
  <c r="P281" i="1"/>
  <c r="P327" i="1" s="1"/>
  <c r="U280" i="1"/>
  <c r="U326" i="1" s="1"/>
  <c r="U284" i="1"/>
  <c r="U330" i="1" s="1"/>
  <c r="U273" i="1"/>
  <c r="U319" i="1" s="1"/>
  <c r="U279" i="1"/>
  <c r="U283" i="1"/>
  <c r="U329" i="1" s="1"/>
  <c r="U282" i="1"/>
  <c r="U328" i="1" s="1"/>
  <c r="U277" i="1"/>
  <c r="U323" i="1" s="1"/>
  <c r="U278" i="1"/>
  <c r="U324" i="1" s="1"/>
  <c r="R281" i="1"/>
  <c r="R327" i="1" s="1"/>
  <c r="Q281" i="1"/>
  <c r="Q327" i="1" s="1"/>
  <c r="S271" i="1"/>
  <c r="J271" i="1"/>
  <c r="J225" i="1"/>
  <c r="J224" i="1"/>
  <c r="J223" i="1"/>
  <c r="J222" i="1"/>
  <c r="J231" i="1"/>
  <c r="J229" i="1"/>
  <c r="J208" i="1"/>
  <c r="J207" i="1"/>
  <c r="J206" i="1"/>
  <c r="J205" i="1"/>
  <c r="J204" i="1"/>
  <c r="J203" i="1"/>
  <c r="J200" i="1"/>
  <c r="J199" i="1"/>
  <c r="J198" i="1"/>
  <c r="J197" i="1"/>
  <c r="J217" i="1"/>
  <c r="J216" i="1"/>
  <c r="J213" i="1"/>
  <c r="J211" i="1"/>
  <c r="J212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214" i="1"/>
  <c r="J236" i="1" s="1"/>
  <c r="J226" i="1"/>
  <c r="J201" i="1"/>
  <c r="J209" i="1"/>
  <c r="J235" i="1" s="1"/>
  <c r="W231" i="1"/>
  <c r="W229" i="1"/>
  <c r="W217" i="1"/>
  <c r="W216" i="1"/>
  <c r="W213" i="1"/>
  <c r="W212" i="1"/>
  <c r="W211" i="1"/>
  <c r="W225" i="1"/>
  <c r="W223" i="1"/>
  <c r="W224" i="1"/>
  <c r="W222" i="1"/>
  <c r="W208" i="1"/>
  <c r="W207" i="1"/>
  <c r="W206" i="1"/>
  <c r="W205" i="1"/>
  <c r="W204" i="1"/>
  <c r="W203" i="1"/>
  <c r="W200" i="1"/>
  <c r="W199" i="1"/>
  <c r="W198" i="1"/>
  <c r="W197" i="1"/>
  <c r="W196" i="1"/>
  <c r="W195" i="1"/>
  <c r="W194" i="1"/>
  <c r="W193" i="1"/>
  <c r="W192" i="1"/>
  <c r="W191" i="1"/>
  <c r="W190" i="1"/>
  <c r="W189" i="1"/>
  <c r="W188" i="1"/>
  <c r="W187" i="1"/>
  <c r="W186" i="1"/>
  <c r="W185" i="1"/>
  <c r="W184" i="1"/>
  <c r="W183" i="1"/>
  <c r="W182" i="1"/>
  <c r="W226" i="1"/>
  <c r="W214" i="1"/>
  <c r="W236" i="1" s="1"/>
  <c r="W218" i="1"/>
  <c r="W237" i="1" s="1"/>
  <c r="W201" i="1"/>
  <c r="W209" i="1"/>
  <c r="W235" i="1" s="1"/>
  <c r="T154" i="1"/>
  <c r="T173" i="1"/>
  <c r="W220" i="1"/>
  <c r="W238" i="1" s="1"/>
  <c r="M217" i="1"/>
  <c r="M216" i="1"/>
  <c r="M231" i="1"/>
  <c r="M229" i="1"/>
  <c r="M225" i="1"/>
  <c r="M224" i="1"/>
  <c r="M223" i="1"/>
  <c r="M222" i="1"/>
  <c r="M213" i="1"/>
  <c r="M212" i="1"/>
  <c r="M211" i="1"/>
  <c r="M208" i="1"/>
  <c r="M207" i="1"/>
  <c r="M206" i="1"/>
  <c r="M205" i="1"/>
  <c r="M204" i="1"/>
  <c r="M203" i="1"/>
  <c r="M200" i="1"/>
  <c r="M199" i="1"/>
  <c r="M198" i="1"/>
  <c r="M197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96" i="1"/>
  <c r="M209" i="1"/>
  <c r="M235" i="1" s="1"/>
  <c r="M214" i="1"/>
  <c r="M236" i="1" s="1"/>
  <c r="M218" i="1"/>
  <c r="M237" i="1" s="1"/>
  <c r="M226" i="1"/>
  <c r="M201" i="1"/>
  <c r="T225" i="1"/>
  <c r="T224" i="1"/>
  <c r="T223" i="1"/>
  <c r="T222" i="1"/>
  <c r="T217" i="1"/>
  <c r="T216" i="1"/>
  <c r="T213" i="1"/>
  <c r="T212" i="1"/>
  <c r="T211" i="1"/>
  <c r="T231" i="1"/>
  <c r="T229" i="1"/>
  <c r="T208" i="1"/>
  <c r="T207" i="1"/>
  <c r="T206" i="1"/>
  <c r="T205" i="1"/>
  <c r="T204" i="1"/>
  <c r="T203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226" i="1"/>
  <c r="T209" i="1"/>
  <c r="T235" i="1" s="1"/>
  <c r="T218" i="1"/>
  <c r="T237" i="1" s="1"/>
  <c r="T214" i="1"/>
  <c r="T236" i="1" s="1"/>
  <c r="T201" i="1"/>
  <c r="O220" i="1"/>
  <c r="O238" i="1" s="1"/>
  <c r="R225" i="1"/>
  <c r="R224" i="1"/>
  <c r="R223" i="1"/>
  <c r="R222" i="1"/>
  <c r="R231" i="1"/>
  <c r="R229" i="1"/>
  <c r="R208" i="1"/>
  <c r="R207" i="1"/>
  <c r="R206" i="1"/>
  <c r="R205" i="1"/>
  <c r="R204" i="1"/>
  <c r="R203" i="1"/>
  <c r="R200" i="1"/>
  <c r="R199" i="1"/>
  <c r="R198" i="1"/>
  <c r="R197" i="1"/>
  <c r="R217" i="1"/>
  <c r="R216" i="1"/>
  <c r="R213" i="1"/>
  <c r="R212" i="1"/>
  <c r="R211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201" i="1"/>
  <c r="R214" i="1"/>
  <c r="R236" i="1" s="1"/>
  <c r="R218" i="1"/>
  <c r="R237" i="1" s="1"/>
  <c r="R226" i="1"/>
  <c r="R209" i="1"/>
  <c r="R235" i="1" s="1"/>
  <c r="X227" i="1"/>
  <c r="X239" i="1" s="1"/>
  <c r="N225" i="1"/>
  <c r="N224" i="1"/>
  <c r="N223" i="1"/>
  <c r="N222" i="1"/>
  <c r="N231" i="1"/>
  <c r="N229" i="1"/>
  <c r="N213" i="1"/>
  <c r="N212" i="1"/>
  <c r="N211" i="1"/>
  <c r="N208" i="1"/>
  <c r="N207" i="1"/>
  <c r="N206" i="1"/>
  <c r="N205" i="1"/>
  <c r="N204" i="1"/>
  <c r="N203" i="1"/>
  <c r="N200" i="1"/>
  <c r="N199" i="1"/>
  <c r="N198" i="1"/>
  <c r="N197" i="1"/>
  <c r="N196" i="1"/>
  <c r="N217" i="1"/>
  <c r="N216" i="1"/>
  <c r="N183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2" i="1"/>
  <c r="N201" i="1"/>
  <c r="N209" i="1"/>
  <c r="N235" i="1" s="1"/>
  <c r="N226" i="1"/>
  <c r="N214" i="1"/>
  <c r="N236" i="1" s="1"/>
  <c r="N218" i="1"/>
  <c r="N237" i="1" s="1"/>
  <c r="J227" i="1"/>
  <c r="J239" i="1" s="1"/>
  <c r="J220" i="1"/>
  <c r="J238" i="1" s="1"/>
  <c r="W89" i="1"/>
  <c r="X225" i="1"/>
  <c r="X224" i="1"/>
  <c r="X223" i="1"/>
  <c r="X222" i="1"/>
  <c r="X231" i="1"/>
  <c r="X229" i="1"/>
  <c r="X212" i="1"/>
  <c r="X211" i="1"/>
  <c r="X217" i="1"/>
  <c r="X216" i="1"/>
  <c r="X213" i="1"/>
  <c r="X208" i="1"/>
  <c r="X207" i="1"/>
  <c r="X206" i="1"/>
  <c r="X205" i="1"/>
  <c r="X204" i="1"/>
  <c r="X203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226" i="1"/>
  <c r="X209" i="1"/>
  <c r="X235" i="1" s="1"/>
  <c r="X214" i="1"/>
  <c r="X236" i="1" s="1"/>
  <c r="X218" i="1"/>
  <c r="X237" i="1" s="1"/>
  <c r="X201" i="1"/>
  <c r="X89" i="1"/>
  <c r="O231" i="1"/>
  <c r="O229" i="1"/>
  <c r="O217" i="1"/>
  <c r="O216" i="1"/>
  <c r="O213" i="1"/>
  <c r="O212" i="1"/>
  <c r="O211" i="1"/>
  <c r="O208" i="1"/>
  <c r="O207" i="1"/>
  <c r="O206" i="1"/>
  <c r="O205" i="1"/>
  <c r="O204" i="1"/>
  <c r="O203" i="1"/>
  <c r="O200" i="1"/>
  <c r="O199" i="1"/>
  <c r="O198" i="1"/>
  <c r="O197" i="1"/>
  <c r="O225" i="1"/>
  <c r="O223" i="1"/>
  <c r="O224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222" i="1"/>
  <c r="O196" i="1"/>
  <c r="O214" i="1"/>
  <c r="O236" i="1" s="1"/>
  <c r="O218" i="1"/>
  <c r="O237" i="1" s="1"/>
  <c r="O209" i="1"/>
  <c r="O235" i="1" s="1"/>
  <c r="O201" i="1"/>
  <c r="O226" i="1"/>
  <c r="S89" i="1"/>
  <c r="S231" i="1"/>
  <c r="S229" i="1"/>
  <c r="S217" i="1"/>
  <c r="S216" i="1"/>
  <c r="S213" i="1"/>
  <c r="S212" i="1"/>
  <c r="S211" i="1"/>
  <c r="S225" i="1"/>
  <c r="S224" i="1"/>
  <c r="S223" i="1"/>
  <c r="S222" i="1"/>
  <c r="S196" i="1"/>
  <c r="S208" i="1"/>
  <c r="S205" i="1"/>
  <c r="S20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207" i="1"/>
  <c r="S204" i="1"/>
  <c r="S200" i="1"/>
  <c r="S199" i="1"/>
  <c r="S203" i="1"/>
  <c r="S198" i="1"/>
  <c r="S197" i="1"/>
  <c r="S201" i="1"/>
  <c r="S209" i="1"/>
  <c r="S235" i="1" s="1"/>
  <c r="S214" i="1"/>
  <c r="S236" i="1" s="1"/>
  <c r="S218" i="1"/>
  <c r="S237" i="1" s="1"/>
  <c r="S226" i="1"/>
  <c r="K231" i="1"/>
  <c r="K229" i="1"/>
  <c r="K217" i="1"/>
  <c r="K216" i="1"/>
  <c r="K213" i="1"/>
  <c r="K212" i="1"/>
  <c r="K211" i="1"/>
  <c r="K225" i="1"/>
  <c r="K224" i="1"/>
  <c r="K223" i="1"/>
  <c r="K222" i="1"/>
  <c r="K208" i="1"/>
  <c r="K207" i="1"/>
  <c r="K206" i="1"/>
  <c r="K205" i="1"/>
  <c r="K204" i="1"/>
  <c r="K203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214" i="1"/>
  <c r="K236" i="1" s="1"/>
  <c r="K209" i="1"/>
  <c r="K235" i="1" s="1"/>
  <c r="K226" i="1"/>
  <c r="K201" i="1"/>
  <c r="L225" i="1"/>
  <c r="L224" i="1"/>
  <c r="L223" i="1"/>
  <c r="L222" i="1"/>
  <c r="L217" i="1"/>
  <c r="L216" i="1"/>
  <c r="L213" i="1"/>
  <c r="L212" i="1"/>
  <c r="L211" i="1"/>
  <c r="L208" i="1"/>
  <c r="L207" i="1"/>
  <c r="L206" i="1"/>
  <c r="L205" i="1"/>
  <c r="L204" i="1"/>
  <c r="L203" i="1"/>
  <c r="L200" i="1"/>
  <c r="L199" i="1"/>
  <c r="L198" i="1"/>
  <c r="L197" i="1"/>
  <c r="L196" i="1"/>
  <c r="L229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231" i="1"/>
  <c r="L226" i="1"/>
  <c r="L209" i="1"/>
  <c r="L235" i="1" s="1"/>
  <c r="L201" i="1"/>
  <c r="L214" i="1"/>
  <c r="L236" i="1" s="1"/>
  <c r="L218" i="1"/>
  <c r="L237" i="1" s="1"/>
  <c r="W227" i="1"/>
  <c r="W239" i="1" s="1"/>
  <c r="K227" i="1"/>
  <c r="K239" i="1" s="1"/>
  <c r="K218" i="1"/>
  <c r="K237" i="1" s="1"/>
  <c r="U139" i="1"/>
  <c r="S173" i="1"/>
  <c r="O139" i="1"/>
  <c r="M139" i="1"/>
  <c r="J139" i="1"/>
  <c r="F163" i="1"/>
  <c r="I163" i="1"/>
  <c r="N163" i="1"/>
  <c r="K163" i="1"/>
  <c r="Q163" i="1"/>
  <c r="L163" i="1"/>
  <c r="H66" i="1"/>
  <c r="F154" i="1"/>
  <c r="I154" i="1"/>
  <c r="S154" i="1"/>
  <c r="X154" i="1"/>
  <c r="N154" i="1"/>
  <c r="M154" i="1"/>
  <c r="P154" i="1"/>
  <c r="K154" i="1"/>
  <c r="R154" i="1"/>
  <c r="V154" i="1"/>
  <c r="W154" i="1"/>
  <c r="Q154" i="1"/>
  <c r="L154" i="1"/>
  <c r="U154" i="1"/>
  <c r="K139" i="1"/>
  <c r="Q139" i="1"/>
  <c r="J154" i="1"/>
  <c r="N139" i="1"/>
  <c r="O163" i="1"/>
  <c r="H85" i="1"/>
  <c r="F173" i="1"/>
  <c r="I173" i="1"/>
  <c r="U173" i="1"/>
  <c r="S163" i="1"/>
  <c r="J173" i="1"/>
  <c r="J163" i="1"/>
  <c r="F44" i="1"/>
  <c r="H42" i="8" s="1"/>
  <c r="L42" i="8" s="1"/>
  <c r="M163" i="1"/>
  <c r="W163" i="1"/>
  <c r="H51" i="1"/>
  <c r="F139" i="1"/>
  <c r="I139" i="1"/>
  <c r="F87" i="1"/>
  <c r="F55" i="1"/>
  <c r="V139" i="1"/>
  <c r="R163" i="1"/>
  <c r="P163" i="1"/>
  <c r="T163" i="1"/>
  <c r="P139" i="1"/>
  <c r="V163" i="1"/>
  <c r="T139" i="1"/>
  <c r="Q173" i="1"/>
  <c r="W173" i="1"/>
  <c r="P9" i="3"/>
  <c r="V104" i="2"/>
  <c r="T130" i="2"/>
  <c r="T112" i="2"/>
  <c r="S130" i="2"/>
  <c r="S112" i="2"/>
  <c r="T132" i="2"/>
  <c r="T66" i="2"/>
  <c r="L52" i="2"/>
  <c r="P100" i="2"/>
  <c r="U24" i="2"/>
  <c r="U66" i="2" s="1"/>
  <c r="M12" i="2"/>
  <c r="N12" i="2" s="1"/>
  <c r="N55" i="2"/>
  <c r="O55" i="2" s="1"/>
  <c r="P55" i="2" s="1"/>
  <c r="Q55" i="2" s="1"/>
  <c r="R55" i="2" s="1"/>
  <c r="S55" i="2" s="1"/>
  <c r="T55" i="2" s="1"/>
  <c r="U55" i="2" s="1"/>
  <c r="V55" i="2" s="1"/>
  <c r="O3" i="2"/>
  <c r="I3" i="3" s="1"/>
  <c r="N6" i="2"/>
  <c r="M16" i="2"/>
  <c r="N16" i="2" s="1"/>
  <c r="N57" i="2"/>
  <c r="O57" i="2" s="1"/>
  <c r="P57" i="2" s="1"/>
  <c r="Q57" i="2" s="1"/>
  <c r="R57" i="2" s="1"/>
  <c r="S57" i="2" s="1"/>
  <c r="T57" i="2" s="1"/>
  <c r="U57" i="2" s="1"/>
  <c r="V57" i="2" s="1"/>
  <c r="L61" i="2"/>
  <c r="N61" i="2"/>
  <c r="O61" i="2" s="1"/>
  <c r="P61" i="2" s="1"/>
  <c r="Q61" i="2" s="1"/>
  <c r="R61" i="2" s="1"/>
  <c r="S61" i="2" s="1"/>
  <c r="T61" i="2" s="1"/>
  <c r="U61" i="2" s="1"/>
  <c r="V61" i="2" s="1"/>
  <c r="M15" i="2"/>
  <c r="N15" i="2" s="1"/>
  <c r="M11" i="2"/>
  <c r="I91" i="2"/>
  <c r="I62" i="2" s="1"/>
  <c r="L62" i="2" s="1"/>
  <c r="L89" i="2"/>
  <c r="U285" i="1" l="1"/>
  <c r="U331" i="1" s="1"/>
  <c r="U317" i="1"/>
  <c r="O143" i="1"/>
  <c r="H53" i="8"/>
  <c r="S284" i="1"/>
  <c r="S330" i="1" s="1"/>
  <c r="W283" i="1"/>
  <c r="W329" i="1" s="1"/>
  <c r="K283" i="1"/>
  <c r="K329" i="1" s="1"/>
  <c r="P285" i="1"/>
  <c r="P331" i="1" s="1"/>
  <c r="P317" i="1"/>
  <c r="M278" i="1"/>
  <c r="M324" i="1" s="1"/>
  <c r="T283" i="1"/>
  <c r="T329" i="1" s="1"/>
  <c r="T280" i="1"/>
  <c r="T326" i="1" s="1"/>
  <c r="N298" i="1"/>
  <c r="N278" i="1"/>
  <c r="N324" i="1" s="1"/>
  <c r="M285" i="1"/>
  <c r="M331" i="1" s="1"/>
  <c r="M317" i="1"/>
  <c r="L307" i="1"/>
  <c r="L281" i="1"/>
  <c r="L327" i="1" s="1"/>
  <c r="X285" i="1"/>
  <c r="X331" i="1" s="1"/>
  <c r="X317" i="1"/>
  <c r="X283" i="1"/>
  <c r="X329" i="1" s="1"/>
  <c r="J279" i="1"/>
  <c r="N307" i="1"/>
  <c r="N281" i="1"/>
  <c r="N327" i="1" s="1"/>
  <c r="N292" i="1"/>
  <c r="N277" i="1"/>
  <c r="N323" i="1" s="1"/>
  <c r="N309" i="1"/>
  <c r="N282" i="1"/>
  <c r="N328" i="1" s="1"/>
  <c r="M281" i="1"/>
  <c r="M327" i="1" s="1"/>
  <c r="X281" i="1"/>
  <c r="X327" i="1" s="1"/>
  <c r="S285" i="1"/>
  <c r="S331" i="1" s="1"/>
  <c r="S317" i="1"/>
  <c r="N300" i="1"/>
  <c r="N279" i="1"/>
  <c r="N313" i="1"/>
  <c r="N284" i="1"/>
  <c r="N330" i="1" s="1"/>
  <c r="K175" i="1"/>
  <c r="H85" i="8"/>
  <c r="J285" i="1"/>
  <c r="J331" i="1" s="1"/>
  <c r="J317" i="1"/>
  <c r="K281" i="1"/>
  <c r="K327" i="1" s="1"/>
  <c r="T285" i="1"/>
  <c r="T331" i="1" s="1"/>
  <c r="T317" i="1"/>
  <c r="M284" i="1"/>
  <c r="M330" i="1" s="1"/>
  <c r="T277" i="1"/>
  <c r="T323" i="1" s="1"/>
  <c r="N285" i="1"/>
  <c r="N331" i="1" s="1"/>
  <c r="N317" i="1"/>
  <c r="W285" i="1"/>
  <c r="W331" i="1" s="1"/>
  <c r="W317" i="1"/>
  <c r="N302" i="1"/>
  <c r="N280" i="1"/>
  <c r="N326" i="1" s="1"/>
  <c r="N311" i="1"/>
  <c r="N283" i="1"/>
  <c r="N329" i="1" s="1"/>
  <c r="V34" i="2"/>
  <c r="U141" i="2"/>
  <c r="T123" i="2"/>
  <c r="U33" i="2"/>
  <c r="H148" i="2"/>
  <c r="H127" i="2"/>
  <c r="H149" i="2" s="1"/>
  <c r="F89" i="1"/>
  <c r="H87" i="8" s="1"/>
  <c r="O175" i="1"/>
  <c r="R175" i="1"/>
  <c r="H87" i="1"/>
  <c r="L175" i="1"/>
  <c r="K132" i="1"/>
  <c r="J132" i="1"/>
  <c r="H55" i="1"/>
  <c r="K143" i="1"/>
  <c r="S143" i="1"/>
  <c r="J143" i="1"/>
  <c r="J175" i="1"/>
  <c r="F177" i="1"/>
  <c r="R177" i="1"/>
  <c r="U177" i="1"/>
  <c r="F143" i="1"/>
  <c r="I143" i="1"/>
  <c r="N143" i="1"/>
  <c r="P143" i="1"/>
  <c r="U143" i="1"/>
  <c r="V143" i="1"/>
  <c r="T143" i="1"/>
  <c r="L143" i="1"/>
  <c r="Q143" i="1"/>
  <c r="R143" i="1"/>
  <c r="M143" i="1"/>
  <c r="W143" i="1"/>
  <c r="J177" i="1"/>
  <c r="N177" i="1"/>
  <c r="X143" i="1"/>
  <c r="F175" i="1"/>
  <c r="V175" i="1"/>
  <c r="I175" i="1"/>
  <c r="U175" i="1"/>
  <c r="P175" i="1"/>
  <c r="Q175" i="1"/>
  <c r="S175" i="1"/>
  <c r="T175" i="1"/>
  <c r="N175" i="1"/>
  <c r="M175" i="1"/>
  <c r="W175" i="1"/>
  <c r="F132" i="1"/>
  <c r="I132" i="1"/>
  <c r="X132" i="1"/>
  <c r="S132" i="1"/>
  <c r="N132" i="1"/>
  <c r="T132" i="1"/>
  <c r="O132" i="1"/>
  <c r="P132" i="1"/>
  <c r="W132" i="1"/>
  <c r="L132" i="1"/>
  <c r="Q132" i="1"/>
  <c r="U132" i="1"/>
  <c r="R132" i="1"/>
  <c r="V132" i="1"/>
  <c r="M132" i="1"/>
  <c r="W177" i="1"/>
  <c r="K177" i="1"/>
  <c r="X175" i="1"/>
  <c r="L177" i="1"/>
  <c r="Q177" i="1"/>
  <c r="U74" i="2"/>
  <c r="Q100" i="2"/>
  <c r="V24" i="2"/>
  <c r="V132" i="2" s="1"/>
  <c r="U132" i="2"/>
  <c r="P3" i="2"/>
  <c r="J3" i="3" s="1"/>
  <c r="O6" i="2"/>
  <c r="I107" i="2"/>
  <c r="O16" i="2"/>
  <c r="O15" i="2"/>
  <c r="N11" i="2"/>
  <c r="O12" i="2"/>
  <c r="I96" i="2"/>
  <c r="L96" i="2" s="1"/>
  <c r="L91" i="2"/>
  <c r="L53" i="8" l="1"/>
  <c r="L68" i="8"/>
  <c r="L77" i="8"/>
  <c r="L62" i="8"/>
  <c r="L66" i="8"/>
  <c r="L57" i="8"/>
  <c r="L55" i="8"/>
  <c r="L56" i="8"/>
  <c r="L81" i="8"/>
  <c r="L71" i="8"/>
  <c r="L75" i="8"/>
  <c r="L61" i="8"/>
  <c r="L79" i="8"/>
  <c r="L60" i="8"/>
  <c r="L70" i="8"/>
  <c r="L63" i="8"/>
  <c r="L58" i="8"/>
  <c r="L72" i="8"/>
  <c r="L82" i="8"/>
  <c r="L73" i="8"/>
  <c r="X177" i="1"/>
  <c r="S177" i="1"/>
  <c r="M177" i="1"/>
  <c r="L83" i="8"/>
  <c r="L85" i="8"/>
  <c r="L87" i="8"/>
  <c r="P177" i="1"/>
  <c r="I177" i="1"/>
  <c r="O177" i="1"/>
  <c r="L64" i="8"/>
  <c r="V141" i="2"/>
  <c r="V33" i="2"/>
  <c r="U123" i="2"/>
  <c r="V69" i="2"/>
  <c r="I104" i="2"/>
  <c r="L104" i="2" s="1"/>
  <c r="U69" i="2"/>
  <c r="H150" i="2"/>
  <c r="H153" i="2" s="1"/>
  <c r="H154" i="2" s="1"/>
  <c r="V177" i="1"/>
  <c r="T177" i="1"/>
  <c r="U130" i="2"/>
  <c r="U112" i="2"/>
  <c r="V74" i="2"/>
  <c r="V66" i="2"/>
  <c r="R100" i="2"/>
  <c r="Q3" i="2"/>
  <c r="K3" i="3" s="1"/>
  <c r="P6" i="2"/>
  <c r="I125" i="2"/>
  <c r="L107" i="2"/>
  <c r="P16" i="2"/>
  <c r="P15" i="2"/>
  <c r="P12" i="2"/>
  <c r="O11" i="2"/>
  <c r="H157" i="2" l="1"/>
  <c r="I156" i="2" s="1"/>
  <c r="L156" i="2" s="1"/>
  <c r="V123" i="2"/>
  <c r="V130" i="2"/>
  <c r="V112" i="2"/>
  <c r="S100" i="2"/>
  <c r="R3" i="2"/>
  <c r="L3" i="3" s="1"/>
  <c r="Q6" i="2"/>
  <c r="I127" i="2"/>
  <c r="I149" i="2" s="1"/>
  <c r="L149" i="2" s="1"/>
  <c r="L125" i="2"/>
  <c r="L127" i="2" s="1"/>
  <c r="I148" i="2"/>
  <c r="Q16" i="2"/>
  <c r="Q15" i="2"/>
  <c r="P11" i="2"/>
  <c r="Q12" i="2"/>
  <c r="T100" i="2" l="1"/>
  <c r="S3" i="2"/>
  <c r="M3" i="3" s="1"/>
  <c r="R6" i="2"/>
  <c r="L148" i="2"/>
  <c r="I150" i="2"/>
  <c r="R16" i="2"/>
  <c r="R15" i="2"/>
  <c r="R12" i="2"/>
  <c r="Q11" i="2"/>
  <c r="H29" i="2" l="1"/>
  <c r="U100" i="2"/>
  <c r="T3" i="2"/>
  <c r="N3" i="3" s="1"/>
  <c r="S6" i="2"/>
  <c r="L150" i="2"/>
  <c r="I153" i="2"/>
  <c r="S16" i="2"/>
  <c r="S15" i="2"/>
  <c r="R11" i="2"/>
  <c r="S12" i="2"/>
  <c r="H42" i="2" l="1"/>
  <c r="V100" i="2"/>
  <c r="U3" i="2"/>
  <c r="O3" i="3" s="1"/>
  <c r="T6" i="2"/>
  <c r="I154" i="2"/>
  <c r="L153" i="2"/>
  <c r="T16" i="2"/>
  <c r="T15" i="2"/>
  <c r="T12" i="2"/>
  <c r="S11" i="2"/>
  <c r="V3" i="2" l="1"/>
  <c r="U6" i="2"/>
  <c r="L154" i="2"/>
  <c r="I157" i="2"/>
  <c r="L157" i="2" s="1"/>
  <c r="U16" i="2"/>
  <c r="U15" i="2"/>
  <c r="T11" i="2"/>
  <c r="U12" i="2"/>
  <c r="V6" i="2" l="1"/>
  <c r="P3" i="3"/>
  <c r="M156" i="2"/>
  <c r="I20" i="2"/>
  <c r="V16" i="2"/>
  <c r="V15" i="2"/>
  <c r="U11" i="2"/>
  <c r="V12" i="2"/>
  <c r="L20" i="2" l="1"/>
  <c r="L29" i="2" s="1"/>
  <c r="I29" i="2"/>
  <c r="L10" i="2"/>
  <c r="M10" i="2" s="1"/>
  <c r="M21" i="2" s="1"/>
  <c r="M72" i="2" s="1"/>
  <c r="V11" i="2"/>
  <c r="M65" i="2" l="1"/>
  <c r="I42" i="2"/>
  <c r="K38" i="2" s="1"/>
  <c r="L38" i="2" s="1"/>
  <c r="L40" i="2" s="1"/>
  <c r="L42" i="2" s="1"/>
  <c r="N10" i="2"/>
  <c r="O10" i="2" s="1"/>
  <c r="P10" i="2" s="1"/>
  <c r="Q10" i="2" s="1"/>
  <c r="R10" i="2" s="1"/>
  <c r="S10" i="2" s="1"/>
  <c r="T10" i="2" s="1"/>
  <c r="U10" i="2" s="1"/>
  <c r="V10" i="2" s="1"/>
  <c r="M75" i="2" l="1"/>
  <c r="N21" i="2"/>
  <c r="M118" i="2"/>
  <c r="M67" i="2" l="1"/>
  <c r="N72" i="2"/>
  <c r="N75" i="2" s="1"/>
  <c r="N118" i="2"/>
  <c r="O21" i="2"/>
  <c r="N65" i="2"/>
  <c r="N67" i="2" l="1"/>
  <c r="O65" i="2"/>
  <c r="O118" i="2"/>
  <c r="P21" i="2"/>
  <c r="O72" i="2"/>
  <c r="O75" i="2" s="1"/>
  <c r="O67" i="2" l="1"/>
  <c r="P65" i="2"/>
  <c r="P118" i="2"/>
  <c r="P72" i="2"/>
  <c r="P75" i="2" s="1"/>
  <c r="Q21" i="2"/>
  <c r="P67" i="2" l="1"/>
  <c r="R21" i="2"/>
  <c r="Q65" i="2"/>
  <c r="Q72" i="2"/>
  <c r="Q75" i="2" s="1"/>
  <c r="Q118" i="2"/>
  <c r="Q67" i="2" l="1"/>
  <c r="R72" i="2"/>
  <c r="R75" i="2" s="1"/>
  <c r="R118" i="2"/>
  <c r="S21" i="2"/>
  <c r="R65" i="2"/>
  <c r="R67" i="2" l="1"/>
  <c r="S65" i="2"/>
  <c r="S118" i="2"/>
  <c r="T21" i="2"/>
  <c r="S72" i="2"/>
  <c r="S75" i="2" s="1"/>
  <c r="S67" i="2" l="1"/>
  <c r="U21" i="2"/>
  <c r="T118" i="2"/>
  <c r="T65" i="2"/>
  <c r="T72" i="2"/>
  <c r="T75" i="2" s="1"/>
  <c r="T67" i="2" l="1"/>
  <c r="V21" i="2"/>
  <c r="U118" i="2"/>
  <c r="U72" i="2"/>
  <c r="U75" i="2" s="1"/>
  <c r="U65" i="2"/>
  <c r="U67" i="2" l="1"/>
  <c r="V72" i="2"/>
  <c r="V75" i="2" s="1"/>
  <c r="V65" i="2"/>
  <c r="V118" i="2"/>
  <c r="V67" i="2" l="1"/>
  <c r="M70" i="2"/>
  <c r="O70" i="2"/>
  <c r="N70" i="2"/>
  <c r="O77" i="2" l="1"/>
  <c r="N77" i="2"/>
  <c r="M77" i="2"/>
  <c r="M111" i="2" l="1"/>
  <c r="M131" i="2"/>
  <c r="M136" i="2" s="1"/>
  <c r="N131" i="2"/>
  <c r="N136" i="2" s="1"/>
  <c r="N111" i="2"/>
  <c r="O131" i="2"/>
  <c r="O136" i="2" s="1"/>
  <c r="O111" i="2"/>
  <c r="M23" i="2"/>
  <c r="M81" i="2"/>
  <c r="M85" i="2"/>
  <c r="M80" i="2"/>
  <c r="M82" i="2"/>
  <c r="M86" i="2"/>
  <c r="M83" i="2"/>
  <c r="M84" i="2"/>
  <c r="N83" i="2"/>
  <c r="N81" i="2"/>
  <c r="N85" i="2"/>
  <c r="N82" i="2"/>
  <c r="N86" i="2"/>
  <c r="N114" i="2" s="1"/>
  <c r="N80" i="2"/>
  <c r="N84" i="2"/>
  <c r="O82" i="2"/>
  <c r="O86" i="2"/>
  <c r="O114" i="2" s="1"/>
  <c r="O80" i="2"/>
  <c r="O84" i="2"/>
  <c r="O81" i="2"/>
  <c r="O85" i="2"/>
  <c r="O83" i="2"/>
  <c r="M22" i="2"/>
  <c r="M26" i="2"/>
  <c r="P70" i="2"/>
  <c r="O23" i="2"/>
  <c r="O26" i="2"/>
  <c r="O22" i="2"/>
  <c r="N26" i="2"/>
  <c r="N23" i="2"/>
  <c r="O120" i="2" s="1"/>
  <c r="N22" i="2"/>
  <c r="M114" i="2" l="1"/>
  <c r="M35" i="2" s="1"/>
  <c r="N35" i="2" s="1"/>
  <c r="M28" i="2"/>
  <c r="N28" i="2" s="1"/>
  <c r="O28" i="2" s="1"/>
  <c r="N121" i="2"/>
  <c r="M121" i="2"/>
  <c r="O119" i="2"/>
  <c r="M119" i="2"/>
  <c r="N119" i="2"/>
  <c r="O121" i="2"/>
  <c r="N120" i="2"/>
  <c r="M120" i="2"/>
  <c r="N87" i="2"/>
  <c r="O87" i="2"/>
  <c r="M87" i="2"/>
  <c r="P77" i="2"/>
  <c r="Q70" i="2"/>
  <c r="O35" i="2" l="1"/>
  <c r="N31" i="2"/>
  <c r="N36" i="2" s="1"/>
  <c r="P131" i="2"/>
  <c r="P136" i="2" s="1"/>
  <c r="P111" i="2"/>
  <c r="N89" i="2"/>
  <c r="N59" i="2"/>
  <c r="M31" i="2"/>
  <c r="M36" i="2" s="1"/>
  <c r="M89" i="2"/>
  <c r="M59" i="2"/>
  <c r="P81" i="2"/>
  <c r="P85" i="2"/>
  <c r="P80" i="2"/>
  <c r="P82" i="2"/>
  <c r="P86" i="2"/>
  <c r="P114" i="2" s="1"/>
  <c r="P83" i="2"/>
  <c r="P84" i="2"/>
  <c r="O31" i="2"/>
  <c r="O59" i="2"/>
  <c r="O89" i="2"/>
  <c r="Q77" i="2"/>
  <c r="R70" i="2"/>
  <c r="P26" i="2"/>
  <c r="P22" i="2"/>
  <c r="P23" i="2"/>
  <c r="P35" i="2" l="1"/>
  <c r="O36" i="2"/>
  <c r="Q131" i="2"/>
  <c r="Q136" i="2" s="1"/>
  <c r="Q111" i="2"/>
  <c r="P28" i="2"/>
  <c r="P121" i="2"/>
  <c r="M122" i="2"/>
  <c r="M117" i="2" s="1"/>
  <c r="P120" i="2"/>
  <c r="O122" i="2"/>
  <c r="O117" i="2" s="1"/>
  <c r="N122" i="2"/>
  <c r="N117" i="2" s="1"/>
  <c r="P119" i="2"/>
  <c r="N90" i="2"/>
  <c r="N91" i="2" s="1"/>
  <c r="N62" i="2" s="1"/>
  <c r="O90" i="2"/>
  <c r="O91" i="2" s="1"/>
  <c r="O62" i="2" s="1"/>
  <c r="Q80" i="2"/>
  <c r="Q84" i="2"/>
  <c r="Q81" i="2"/>
  <c r="Q85" i="2"/>
  <c r="Q82" i="2"/>
  <c r="Q86" i="2"/>
  <c r="Q114" i="2" s="1"/>
  <c r="Q35" i="2" s="1"/>
  <c r="Q83" i="2"/>
  <c r="P87" i="2"/>
  <c r="M90" i="2"/>
  <c r="M91" i="2" s="1"/>
  <c r="M62" i="2" s="1"/>
  <c r="R77" i="2"/>
  <c r="S70" i="2"/>
  <c r="Q26" i="2"/>
  <c r="Q23" i="2"/>
  <c r="Q22" i="2"/>
  <c r="Q28" i="2" l="1"/>
  <c r="R131" i="2"/>
  <c r="R136" i="2" s="1"/>
  <c r="R111" i="2"/>
  <c r="Q119" i="2"/>
  <c r="Q120" i="2"/>
  <c r="Q121" i="2"/>
  <c r="N96" i="2"/>
  <c r="N107" i="2"/>
  <c r="R83" i="2"/>
  <c r="R80" i="2"/>
  <c r="R84" i="2"/>
  <c r="R81" i="2"/>
  <c r="R85" i="2"/>
  <c r="R82" i="2"/>
  <c r="R86" i="2"/>
  <c r="R114" i="2" s="1"/>
  <c r="R35" i="2" s="1"/>
  <c r="M96" i="2"/>
  <c r="M107" i="2"/>
  <c r="Q87" i="2"/>
  <c r="P59" i="2"/>
  <c r="P31" i="2"/>
  <c r="P36" i="2" s="1"/>
  <c r="P89" i="2"/>
  <c r="O96" i="2"/>
  <c r="O107" i="2"/>
  <c r="S77" i="2"/>
  <c r="T70" i="2"/>
  <c r="R23" i="2"/>
  <c r="R120" i="2" s="1"/>
  <c r="R26" i="2"/>
  <c r="R121" i="2" s="1"/>
  <c r="R22" i="2"/>
  <c r="O125" i="2" l="1"/>
  <c r="O142" i="2"/>
  <c r="N125" i="2"/>
  <c r="N142" i="2"/>
  <c r="M142" i="2"/>
  <c r="R28" i="2"/>
  <c r="S131" i="2"/>
  <c r="S136" i="2" s="1"/>
  <c r="S111" i="2"/>
  <c r="M125" i="2"/>
  <c r="P122" i="2"/>
  <c r="P117" i="2" s="1"/>
  <c r="R119" i="2"/>
  <c r="S82" i="2"/>
  <c r="S86" i="2"/>
  <c r="S114" i="2" s="1"/>
  <c r="S35" i="2" s="1"/>
  <c r="S83" i="2"/>
  <c r="S80" i="2"/>
  <c r="S84" i="2"/>
  <c r="S81" i="2"/>
  <c r="S85" i="2"/>
  <c r="P90" i="2"/>
  <c r="P91" i="2" s="1"/>
  <c r="P62" i="2" s="1"/>
  <c r="R87" i="2"/>
  <c r="Q31" i="2"/>
  <c r="Q36" i="2" s="1"/>
  <c r="Q59" i="2"/>
  <c r="Q89" i="2"/>
  <c r="T77" i="2"/>
  <c r="U70" i="2"/>
  <c r="V70" i="2"/>
  <c r="S23" i="2"/>
  <c r="S26" i="2"/>
  <c r="S121" i="2" s="1"/>
  <c r="S22" i="2"/>
  <c r="M38" i="2" l="1"/>
  <c r="M40" i="2" s="1"/>
  <c r="N144" i="2"/>
  <c r="N148" i="2" s="1"/>
  <c r="H8" i="3"/>
  <c r="H10" i="3" s="1"/>
  <c r="O144" i="2"/>
  <c r="O148" i="2" s="1"/>
  <c r="I8" i="3"/>
  <c r="I10" i="3" s="1"/>
  <c r="M144" i="2"/>
  <c r="M148" i="2" s="1"/>
  <c r="M157" i="2" s="1"/>
  <c r="G8" i="3"/>
  <c r="G10" i="3" s="1"/>
  <c r="N38" i="2"/>
  <c r="O38" i="2" s="1"/>
  <c r="T131" i="2"/>
  <c r="T136" i="2" s="1"/>
  <c r="T111" i="2"/>
  <c r="S28" i="2"/>
  <c r="S120" i="2"/>
  <c r="Q122" i="2"/>
  <c r="Q117" i="2" s="1"/>
  <c r="S119" i="2"/>
  <c r="Q90" i="2"/>
  <c r="Q91" i="2" s="1"/>
  <c r="Q62" i="2" s="1"/>
  <c r="R89" i="2"/>
  <c r="R31" i="2"/>
  <c r="R36" i="2" s="1"/>
  <c r="R59" i="2"/>
  <c r="P96" i="2"/>
  <c r="P107" i="2"/>
  <c r="S87" i="2"/>
  <c r="T81" i="2"/>
  <c r="T85" i="2"/>
  <c r="T83" i="2"/>
  <c r="T84" i="2"/>
  <c r="T82" i="2"/>
  <c r="T86" i="2"/>
  <c r="T114" i="2" s="1"/>
  <c r="T35" i="2" s="1"/>
  <c r="T80" i="2"/>
  <c r="T26" i="2"/>
  <c r="T22" i="2"/>
  <c r="T119" i="2" s="1"/>
  <c r="T23" i="2"/>
  <c r="U77" i="2"/>
  <c r="V77" i="2"/>
  <c r="N156" i="2" l="1"/>
  <c r="M20" i="2"/>
  <c r="N157" i="2"/>
  <c r="N20" i="2" s="1"/>
  <c r="N29" i="2" s="1"/>
  <c r="P125" i="2"/>
  <c r="P142" i="2"/>
  <c r="T28" i="2"/>
  <c r="U131" i="2"/>
  <c r="U136" i="2" s="1"/>
  <c r="U111" i="2"/>
  <c r="V131" i="2"/>
  <c r="V136" i="2" s="1"/>
  <c r="V111" i="2"/>
  <c r="N40" i="2"/>
  <c r="R122" i="2"/>
  <c r="R117" i="2" s="1"/>
  <c r="T121" i="2"/>
  <c r="T120" i="2"/>
  <c r="T87" i="2"/>
  <c r="R90" i="2"/>
  <c r="R91" i="2" s="1"/>
  <c r="R62" i="2" s="1"/>
  <c r="V83" i="2"/>
  <c r="V81" i="2"/>
  <c r="V85" i="2"/>
  <c r="V82" i="2"/>
  <c r="V86" i="2"/>
  <c r="V114" i="2" s="1"/>
  <c r="V80" i="2"/>
  <c r="V84" i="2"/>
  <c r="U80" i="2"/>
  <c r="U84" i="2"/>
  <c r="U82" i="2"/>
  <c r="U86" i="2"/>
  <c r="U114" i="2" s="1"/>
  <c r="U35" i="2" s="1"/>
  <c r="U83" i="2"/>
  <c r="U81" i="2"/>
  <c r="U85" i="2"/>
  <c r="Q96" i="2"/>
  <c r="Q107" i="2"/>
  <c r="S31" i="2"/>
  <c r="S36" i="2" s="1"/>
  <c r="S59" i="2"/>
  <c r="S89" i="2"/>
  <c r="V23" i="2"/>
  <c r="V26" i="2"/>
  <c r="V22" i="2"/>
  <c r="U26" i="2"/>
  <c r="U22" i="2"/>
  <c r="U119" i="2" s="1"/>
  <c r="U23" i="2"/>
  <c r="V35" i="2" l="1"/>
  <c r="N42" i="2"/>
  <c r="M29" i="2"/>
  <c r="T31" i="2"/>
  <c r="T36" i="2" s="1"/>
  <c r="P144" i="2"/>
  <c r="P148" i="2" s="1"/>
  <c r="J8" i="3"/>
  <c r="J10" i="3" s="1"/>
  <c r="O156" i="2"/>
  <c r="O157" i="2" s="1"/>
  <c r="P38" i="2"/>
  <c r="Q125" i="2"/>
  <c r="Q142" i="2"/>
  <c r="T59" i="2"/>
  <c r="U28" i="2"/>
  <c r="V28" i="2" s="1"/>
  <c r="V121" i="2"/>
  <c r="O40" i="2"/>
  <c r="V120" i="2"/>
  <c r="U120" i="2"/>
  <c r="V119" i="2"/>
  <c r="S122" i="2"/>
  <c r="S117" i="2" s="1"/>
  <c r="U121" i="2"/>
  <c r="T89" i="2"/>
  <c r="R96" i="2"/>
  <c r="R107" i="2"/>
  <c r="V87" i="2"/>
  <c r="S90" i="2"/>
  <c r="S91" i="2" s="1"/>
  <c r="S62" i="2" s="1"/>
  <c r="U87" i="2"/>
  <c r="M42" i="2" l="1"/>
  <c r="T122" i="2"/>
  <c r="T117" i="2" s="1"/>
  <c r="Q144" i="2"/>
  <c r="Q148" i="2" s="1"/>
  <c r="K8" i="3"/>
  <c r="K10" i="3" s="1"/>
  <c r="O20" i="2"/>
  <c r="O29" i="2" s="1"/>
  <c r="P156" i="2"/>
  <c r="P157" i="2" s="1"/>
  <c r="Q38" i="2"/>
  <c r="R125" i="2"/>
  <c r="R142" i="2"/>
  <c r="P40" i="2"/>
  <c r="T90" i="2"/>
  <c r="T91" i="2" s="1"/>
  <c r="T62" i="2" s="1"/>
  <c r="S96" i="2"/>
  <c r="S107" i="2"/>
  <c r="V31" i="2"/>
  <c r="V36" i="2" s="1"/>
  <c r="V89" i="2"/>
  <c r="V59" i="2"/>
  <c r="U59" i="2"/>
  <c r="U89" i="2"/>
  <c r="U31" i="2"/>
  <c r="U36" i="2" s="1"/>
  <c r="O42" i="2" l="1"/>
  <c r="Q156" i="2"/>
  <c r="Q157" i="2" s="1"/>
  <c r="P20" i="2"/>
  <c r="P29" i="2" s="1"/>
  <c r="R144" i="2"/>
  <c r="R148" i="2" s="1"/>
  <c r="L8" i="3"/>
  <c r="L10" i="3" s="1"/>
  <c r="R38" i="2"/>
  <c r="S125" i="2"/>
  <c r="S142" i="2"/>
  <c r="Q40" i="2"/>
  <c r="U122" i="2"/>
  <c r="U117" i="2" s="1"/>
  <c r="V122" i="2"/>
  <c r="V117" i="2" s="1"/>
  <c r="T107" i="2"/>
  <c r="T96" i="2"/>
  <c r="V90" i="2"/>
  <c r="V91" i="2" s="1"/>
  <c r="V62" i="2" s="1"/>
  <c r="U90" i="2"/>
  <c r="U91" i="2" s="1"/>
  <c r="U62" i="2" s="1"/>
  <c r="P42" i="2" l="1"/>
  <c r="S38" i="2"/>
  <c r="S144" i="2"/>
  <c r="S148" i="2" s="1"/>
  <c r="M8" i="3"/>
  <c r="M10" i="3" s="1"/>
  <c r="Q20" i="2"/>
  <c r="Q29" i="2" s="1"/>
  <c r="R156" i="2"/>
  <c r="R157" i="2" s="1"/>
  <c r="T125" i="2"/>
  <c r="T142" i="2"/>
  <c r="R40" i="2"/>
  <c r="U96" i="2"/>
  <c r="U107" i="2"/>
  <c r="V96" i="2"/>
  <c r="V107" i="2"/>
  <c r="Q42" i="2" l="1"/>
  <c r="S156" i="2"/>
  <c r="S157" i="2" s="1"/>
  <c r="R20" i="2"/>
  <c r="R29" i="2" s="1"/>
  <c r="T144" i="2"/>
  <c r="T148" i="2" s="1"/>
  <c r="N8" i="3"/>
  <c r="N10" i="3" s="1"/>
  <c r="U125" i="2"/>
  <c r="U142" i="2"/>
  <c r="T38" i="2"/>
  <c r="V125" i="2"/>
  <c r="V142" i="2"/>
  <c r="S40" i="2"/>
  <c r="R42" i="2" l="1"/>
  <c r="T156" i="2"/>
  <c r="T157" i="2" s="1"/>
  <c r="T20" i="2" s="1"/>
  <c r="T29" i="2" s="1"/>
  <c r="S20" i="2"/>
  <c r="S29" i="2" s="1"/>
  <c r="V144" i="2"/>
  <c r="V148" i="2" s="1"/>
  <c r="P8" i="3"/>
  <c r="U144" i="2"/>
  <c r="U148" i="2" s="1"/>
  <c r="O8" i="3"/>
  <c r="O10" i="3" s="1"/>
  <c r="U38" i="2"/>
  <c r="V38" i="2" s="1"/>
  <c r="T40" i="2"/>
  <c r="S42" i="2" l="1"/>
  <c r="T42" i="2"/>
  <c r="U156" i="2"/>
  <c r="U157" i="2" s="1"/>
  <c r="F15" i="3"/>
  <c r="F16" i="3" s="1"/>
  <c r="P10" i="3"/>
  <c r="F17" i="3" s="1"/>
  <c r="V40" i="2"/>
  <c r="U40" i="2"/>
  <c r="F19" i="3" l="1"/>
  <c r="U20" i="2"/>
  <c r="U29" i="2" s="1"/>
  <c r="V156" i="2"/>
  <c r="V157" i="2" s="1"/>
  <c r="V20" i="2" s="1"/>
  <c r="V29" i="2" s="1"/>
  <c r="G20" i="3" l="1"/>
  <c r="F21" i="3"/>
  <c r="E35" i="3" s="1"/>
  <c r="E24" i="3"/>
  <c r="V42" i="2"/>
  <c r="U42" i="2"/>
</calcChain>
</file>

<file path=xl/sharedStrings.xml><?xml version="1.0" encoding="utf-8"?>
<sst xmlns="http://schemas.openxmlformats.org/spreadsheetml/2006/main" count="1077" uniqueCount="302">
  <si>
    <t>Kiambu</t>
  </si>
  <si>
    <t>Githunguri</t>
  </si>
  <si>
    <t>Kagwe</t>
  </si>
  <si>
    <t>Kiriita</t>
  </si>
  <si>
    <t>Limuru</t>
  </si>
  <si>
    <t>Mai mahiu</t>
  </si>
  <si>
    <t>Kikuyu</t>
  </si>
  <si>
    <t>Wangige</t>
  </si>
  <si>
    <t>Banana</t>
  </si>
  <si>
    <t>Gikomba</t>
  </si>
  <si>
    <t xml:space="preserve">Suswa </t>
  </si>
  <si>
    <t>Ruaka</t>
  </si>
  <si>
    <t>Wakimbo</t>
  </si>
  <si>
    <t>Gikambura</t>
  </si>
  <si>
    <t>Nairekia Enkare</t>
  </si>
  <si>
    <t>Kamwangi</t>
  </si>
  <si>
    <t>Totals</t>
  </si>
  <si>
    <t>Interest on short term loan me</t>
  </si>
  <si>
    <t>Interest on short term loan Cu</t>
  </si>
  <si>
    <t>Interest on medium term loan C</t>
  </si>
  <si>
    <t>Interest on medium term loan m</t>
  </si>
  <si>
    <t>Interest on development loan soc</t>
  </si>
  <si>
    <t>Interest on overdraft members</t>
  </si>
  <si>
    <t>Interest on Overdue loan</t>
  </si>
  <si>
    <t>Advance interest</t>
  </si>
  <si>
    <t>Interest on shirika loan</t>
  </si>
  <si>
    <t>Interest on bonus advance loan</t>
  </si>
  <si>
    <t>Interest on Premium Financing</t>
  </si>
  <si>
    <t>Interest on MFI loan</t>
  </si>
  <si>
    <t>Interest on Jijenge Loan</t>
  </si>
  <si>
    <t>Interest on Soko loan</t>
  </si>
  <si>
    <t>Interest on Inuka loan</t>
  </si>
  <si>
    <t>Interest on youthbiz loan</t>
  </si>
  <si>
    <t>Interest on Kwamua Biashara</t>
  </si>
  <si>
    <t>Interest on Uni-Mobiloan</t>
  </si>
  <si>
    <t>Total interest on loan Portfolio</t>
  </si>
  <si>
    <t>Interest on staff loan</t>
  </si>
  <si>
    <t>KSH</t>
  </si>
  <si>
    <t>Loan Processing fee</t>
  </si>
  <si>
    <t>Other loan recovey inome</t>
  </si>
  <si>
    <t>Ledger fee on loans</t>
  </si>
  <si>
    <t>Ledger fee on MFI loan</t>
  </si>
  <si>
    <t>MFI loan procesing fee</t>
  </si>
  <si>
    <t>MFI other incomes</t>
  </si>
  <si>
    <t>Total fees and Commision on loan Portfolio</t>
  </si>
  <si>
    <t>Interest on treasury bonds</t>
  </si>
  <si>
    <t>Discount on infrastructure Bonds</t>
  </si>
  <si>
    <t>Total Government Securities</t>
  </si>
  <si>
    <t>Interest on fixed deposit</t>
  </si>
  <si>
    <t>Interest on call deposit</t>
  </si>
  <si>
    <t>Total deposit with bank</t>
  </si>
  <si>
    <t>x</t>
  </si>
  <si>
    <t xml:space="preserve">Other Operating Income </t>
  </si>
  <si>
    <t>Salary Processiong Charges</t>
  </si>
  <si>
    <t>Withdrawal transaction charge</t>
  </si>
  <si>
    <t>Ledger fee on charging customers</t>
  </si>
  <si>
    <t>Mobile Banking cash withdrawal and notification charge</t>
  </si>
  <si>
    <t>Total other operating income</t>
  </si>
  <si>
    <t>Total Revenue</t>
  </si>
  <si>
    <t>Interest on savings</t>
  </si>
  <si>
    <t xml:space="preserve">Interest on fixed deposits </t>
  </si>
  <si>
    <t>Interest on Diaspora jijenge savings</t>
  </si>
  <si>
    <t>Total interest expense on deposits</t>
  </si>
  <si>
    <t>Mobile deposit charges paybill</t>
  </si>
  <si>
    <t>loss impairement of financial assets</t>
  </si>
  <si>
    <t>Other Expenses</t>
  </si>
  <si>
    <t xml:space="preserve">Total fees and commission expenses </t>
  </si>
  <si>
    <t>Appraisal fee</t>
  </si>
  <si>
    <t>Total Provision for Loan Losses</t>
  </si>
  <si>
    <t>Staff salaries</t>
  </si>
  <si>
    <t>House alowance</t>
  </si>
  <si>
    <t>Other personnel expenses</t>
  </si>
  <si>
    <t xml:space="preserve">Total personnel expenses </t>
  </si>
  <si>
    <t>Total governance Expenses</t>
  </si>
  <si>
    <t>Total Marketing Expenses</t>
  </si>
  <si>
    <t>Total Depreciation and amortization</t>
  </si>
  <si>
    <t>Security</t>
  </si>
  <si>
    <t>Other Admin Expenses</t>
  </si>
  <si>
    <t>Total Admin expenses</t>
  </si>
  <si>
    <t>Total Expenses</t>
  </si>
  <si>
    <t>Banking Operating Profit</t>
  </si>
  <si>
    <t>Interest on corporate Bonds</t>
  </si>
  <si>
    <t>Income Statements</t>
  </si>
  <si>
    <t>Totals Net Other Ops</t>
  </si>
  <si>
    <t>Other Ops</t>
  </si>
  <si>
    <t>Other Income</t>
  </si>
  <si>
    <t>Interest Income From Financial Investment</t>
  </si>
  <si>
    <t>Debit</t>
  </si>
  <si>
    <t>Credit</t>
  </si>
  <si>
    <t>K-UNITY OPERATING MODEL</t>
  </si>
  <si>
    <t>Interest from loans and advances</t>
  </si>
  <si>
    <t>Interest Income from Financial Investment</t>
  </si>
  <si>
    <t>Total Interest</t>
  </si>
  <si>
    <t>Interest Expense</t>
  </si>
  <si>
    <t>Net Interest Income</t>
  </si>
  <si>
    <t>Other Operating Income</t>
  </si>
  <si>
    <t>Total Income</t>
  </si>
  <si>
    <t>Revenue</t>
  </si>
  <si>
    <t>Expenses</t>
  </si>
  <si>
    <t>Governance Expenses</t>
  </si>
  <si>
    <t>Administration Expenses</t>
  </si>
  <si>
    <t>Financial Expenses</t>
  </si>
  <si>
    <t>Marketing and Public Relations</t>
  </si>
  <si>
    <t>Personnel Expenses</t>
  </si>
  <si>
    <t>Allowance of Asset Impairment</t>
  </si>
  <si>
    <t>Allowance for loan/debtors Impairment</t>
  </si>
  <si>
    <t>Net Surplus before tax</t>
  </si>
  <si>
    <t>Income tax expense</t>
  </si>
  <si>
    <t>Net Operating surplus after tax</t>
  </si>
  <si>
    <t>Other Comprehensive Incomes</t>
  </si>
  <si>
    <t>Gain/loss on PPE Revaluation</t>
  </si>
  <si>
    <t>Gain/loss on Equity Instrument</t>
  </si>
  <si>
    <t>Total Comprehensive Income</t>
  </si>
  <si>
    <t>Periods</t>
  </si>
  <si>
    <t>END</t>
  </si>
  <si>
    <t>Cashflow statement</t>
  </si>
  <si>
    <t>Balance sheet</t>
  </si>
  <si>
    <t>Gain on asset disposal</t>
  </si>
  <si>
    <t>Dividend incomes</t>
  </si>
  <si>
    <t>Total other income</t>
  </si>
  <si>
    <t>Net Income</t>
  </si>
  <si>
    <t>Bad debt written off</t>
  </si>
  <si>
    <t>Impairement of KUSSCO (Financial asset)</t>
  </si>
  <si>
    <t>Depreciation</t>
  </si>
  <si>
    <t>Investing Activities</t>
  </si>
  <si>
    <t>Financing activiies</t>
  </si>
  <si>
    <t>Operating activities</t>
  </si>
  <si>
    <t>Gain on asset disposal adjustment</t>
  </si>
  <si>
    <t>Net change in loans to member</t>
  </si>
  <si>
    <t>Net change in debtors and prepayments</t>
  </si>
  <si>
    <t xml:space="preserve">net change in inventories </t>
  </si>
  <si>
    <t>Deffered income taxes</t>
  </si>
  <si>
    <t>Total Operating Cashflows</t>
  </si>
  <si>
    <t>Net change in sundry creditors and accruals</t>
  </si>
  <si>
    <t>Net change in members deposits</t>
  </si>
  <si>
    <t>Recorded Total Operating cash flows</t>
  </si>
  <si>
    <t>Check</t>
  </si>
  <si>
    <t>Increase / decrease in Operating Assets and Liabilities</t>
  </si>
  <si>
    <t xml:space="preserve">Dividend Received </t>
  </si>
  <si>
    <t>Purchase of fixed assets</t>
  </si>
  <si>
    <t>Intangible assets</t>
  </si>
  <si>
    <t>Total Investing Cashflows</t>
  </si>
  <si>
    <t>Additional invstment property</t>
  </si>
  <si>
    <t>Disposal of motorvehicle</t>
  </si>
  <si>
    <t xml:space="preserve">Net change in other financial assets </t>
  </si>
  <si>
    <t xml:space="preserve">KDC loan payment / Received </t>
  </si>
  <si>
    <t>Members shares contribution</t>
  </si>
  <si>
    <t>Beginning cash and cash equivalents</t>
  </si>
  <si>
    <t>Ending cash and cash equivalents</t>
  </si>
  <si>
    <t xml:space="preserve">Net cashflow </t>
  </si>
  <si>
    <t>Plugs (from checks)</t>
  </si>
  <si>
    <t>Net cash flow including plugs</t>
  </si>
  <si>
    <t>Net cash flow recorded</t>
  </si>
  <si>
    <t>Check - total</t>
  </si>
  <si>
    <t>Net cash flow including plug (total)</t>
  </si>
  <si>
    <t>Cash and Cash equivalents</t>
  </si>
  <si>
    <t xml:space="preserve">loan to members </t>
  </si>
  <si>
    <t>Prepayments and sundry receivables</t>
  </si>
  <si>
    <t>Inventories</t>
  </si>
  <si>
    <t>Financial assets</t>
  </si>
  <si>
    <t>Lease improvements</t>
  </si>
  <si>
    <t>Investment Property</t>
  </si>
  <si>
    <t>PPE</t>
  </si>
  <si>
    <t>Total assets</t>
  </si>
  <si>
    <t>Sundry creditors and accruals</t>
  </si>
  <si>
    <t>Deferred tax liabilities</t>
  </si>
  <si>
    <t>Member savings</t>
  </si>
  <si>
    <t>External borrowings</t>
  </si>
  <si>
    <t xml:space="preserve">Total liabilities </t>
  </si>
  <si>
    <t>Total equity</t>
  </si>
  <si>
    <t>Total liabilities + Equity</t>
  </si>
  <si>
    <t>Recorded Total Investing cash flows</t>
  </si>
  <si>
    <t>Recorded Total Financing cash flows</t>
  </si>
  <si>
    <t>Total financing Cashflows</t>
  </si>
  <si>
    <t>Income Statement</t>
  </si>
  <si>
    <t>% Growth</t>
  </si>
  <si>
    <t>Latest Fiscal Year End</t>
  </si>
  <si>
    <t>Historical Period Flag</t>
  </si>
  <si>
    <t>Flag</t>
  </si>
  <si>
    <t>Date</t>
  </si>
  <si>
    <t>Period</t>
  </si>
  <si>
    <t>Period Count</t>
  </si>
  <si>
    <t>Fiscal Year Ends</t>
  </si>
  <si>
    <t>% of total Income</t>
  </si>
  <si>
    <t>% of total Expenses</t>
  </si>
  <si>
    <t>Member Savings</t>
  </si>
  <si>
    <t>Effective Interest Yield - Loans to Members</t>
  </si>
  <si>
    <t>Effective Interest Yield - Financial Investmets</t>
  </si>
  <si>
    <t>Effective Interest Yield - Interest Expense</t>
  </si>
  <si>
    <t>Dividend income</t>
  </si>
  <si>
    <t>% of Financial Assets</t>
  </si>
  <si>
    <t>% of Total Income</t>
  </si>
  <si>
    <t>Effective Tax Rate</t>
  </si>
  <si>
    <t>% of Pretax Income</t>
  </si>
  <si>
    <t>Allowance for asset impairment</t>
  </si>
  <si>
    <t>Dividend income adjustment</t>
  </si>
  <si>
    <t>Allowance of loans impairement</t>
  </si>
  <si>
    <t>Additional in lease improvement</t>
  </si>
  <si>
    <t xml:space="preserve">Depreciation </t>
  </si>
  <si>
    <t>Dividends Paid</t>
  </si>
  <si>
    <t>Members share contribution</t>
  </si>
  <si>
    <t>% of Net Income</t>
  </si>
  <si>
    <t>Dividend Discount Model</t>
  </si>
  <si>
    <t>Cost of Equity</t>
  </si>
  <si>
    <t>Terminal Growth Rate</t>
  </si>
  <si>
    <t>Mid - Year Periods</t>
  </si>
  <si>
    <t>Discount Factor</t>
  </si>
  <si>
    <t>Discounted Dividends</t>
  </si>
  <si>
    <t>Terminal Value</t>
  </si>
  <si>
    <t>Discounted Terminal Value</t>
  </si>
  <si>
    <t>Equity Value</t>
  </si>
  <si>
    <t>US Risk Premium</t>
  </si>
  <si>
    <t>US Default Spread</t>
  </si>
  <si>
    <t>Mature Market ERP</t>
  </si>
  <si>
    <t>Corporate Tax Rate</t>
  </si>
  <si>
    <t>Ten year Bond yield (US)</t>
  </si>
  <si>
    <t>Risk Free Rate</t>
  </si>
  <si>
    <t xml:space="preserve">Beta </t>
  </si>
  <si>
    <t>Beta Calulation</t>
  </si>
  <si>
    <t>Ticker</t>
  </si>
  <si>
    <t>Company</t>
  </si>
  <si>
    <t>Market Cap</t>
  </si>
  <si>
    <t>Total Debt</t>
  </si>
  <si>
    <t>Debt to Equity</t>
  </si>
  <si>
    <t>Levered Beta</t>
  </si>
  <si>
    <t>Country</t>
  </si>
  <si>
    <t>Industry</t>
  </si>
  <si>
    <t>Unlevered Beta</t>
  </si>
  <si>
    <t>United States</t>
  </si>
  <si>
    <t>Netherlands</t>
  </si>
  <si>
    <t>BDMN.JK</t>
  </si>
  <si>
    <t>PT Bank Danamon Indonesia Tbk</t>
  </si>
  <si>
    <t>SBIN.NS</t>
  </si>
  <si>
    <t>State Bank of India</t>
  </si>
  <si>
    <t>CPI.JO</t>
  </si>
  <si>
    <t>Capitec Bank Holdings Limited</t>
  </si>
  <si>
    <t>FSR.JO</t>
  </si>
  <si>
    <t>FirstRand Limited</t>
  </si>
  <si>
    <t>SBK.JO</t>
  </si>
  <si>
    <t>Standard Bank Group Limited</t>
  </si>
  <si>
    <t>UJJIVANSFB.NS</t>
  </si>
  <si>
    <t>Ujjivan Small Finance Bank Limited</t>
  </si>
  <si>
    <t>BAP</t>
  </si>
  <si>
    <t>Credicorp Ltd.</t>
  </si>
  <si>
    <t>FCFS</t>
  </si>
  <si>
    <t>FirstCash Holdings, Inc.</t>
  </si>
  <si>
    <t>ENVA</t>
  </si>
  <si>
    <t>Enova International, Inc.</t>
  </si>
  <si>
    <t>CASH</t>
  </si>
  <si>
    <t>Pathward Financial, Inc.</t>
  </si>
  <si>
    <t>WRLD</t>
  </si>
  <si>
    <t>World Acceptance Corporation</t>
  </si>
  <si>
    <t>ASAI.L</t>
  </si>
  <si>
    <t>ASA International Group PLC</t>
  </si>
  <si>
    <t>Indonesia</t>
  </si>
  <si>
    <t>Banks - Regional</t>
  </si>
  <si>
    <t>India</t>
  </si>
  <si>
    <t>South Africa</t>
  </si>
  <si>
    <t>Banks - Diversified</t>
  </si>
  <si>
    <t>Credit Services</t>
  </si>
  <si>
    <t>Peru</t>
  </si>
  <si>
    <t>External Debt</t>
  </si>
  <si>
    <t>Equity</t>
  </si>
  <si>
    <t xml:space="preserve">Cost of Equity </t>
  </si>
  <si>
    <t>PGR</t>
  </si>
  <si>
    <t>Cost of Equity Adjusted for Currency</t>
  </si>
  <si>
    <t>US Inflation Rate</t>
  </si>
  <si>
    <t>Kenya Inflation Rate</t>
  </si>
  <si>
    <t>Kenya Risk Premium</t>
  </si>
  <si>
    <t>Total risk Premium</t>
  </si>
  <si>
    <t>Average Unlevered Beta</t>
  </si>
  <si>
    <t>Interest on overdraft members + society</t>
  </si>
  <si>
    <t xml:space="preserve">Interest on Soko loan </t>
  </si>
  <si>
    <t>Advance interest (crop + salary + staff + soko + mfi + raw)</t>
  </si>
  <si>
    <t>Interest on Premium Financing + penalty interest (raw + loan recovery)</t>
  </si>
  <si>
    <t xml:space="preserve">Interest on corporate Bonds </t>
  </si>
  <si>
    <t>interest on deposits Wealth C</t>
  </si>
  <si>
    <t>Interest on Wealth C deposits</t>
  </si>
  <si>
    <t>Growth %</t>
  </si>
  <si>
    <t>% Of Total Revenue</t>
  </si>
  <si>
    <t>Net Margin</t>
  </si>
  <si>
    <t>Diff</t>
  </si>
  <si>
    <t>Reported</t>
  </si>
  <si>
    <t>Wangige Historicals</t>
  </si>
  <si>
    <t>K Unity Historicals</t>
  </si>
  <si>
    <t>% of Loans to Members</t>
  </si>
  <si>
    <t>EIY</t>
  </si>
  <si>
    <t>Inflation Entries</t>
  </si>
  <si>
    <t>Contribution % or share of total</t>
  </si>
  <si>
    <t>Revenue Mix Comparison across branches</t>
  </si>
  <si>
    <t>Revenue Mix Across Branches - Consolidated Excl Interest</t>
  </si>
  <si>
    <t>% of Totals</t>
  </si>
  <si>
    <t>% of Branch Revenue</t>
  </si>
  <si>
    <t>Expenses Per Branch - Horizontal Analysis</t>
  </si>
  <si>
    <t>Expenses Per Branch - Vertical Analysis</t>
  </si>
  <si>
    <t>Expenses Per Branch -  Consolidated - Vertical Analysis</t>
  </si>
  <si>
    <t>Expenses Per Branch  - Consolidated - Horizontal Analysis</t>
  </si>
  <si>
    <t>K - Unity Data</t>
  </si>
  <si>
    <t xml:space="preserve">Intrinsic value per share </t>
  </si>
  <si>
    <t>Share Count</t>
  </si>
  <si>
    <t>EV Sensitivity</t>
  </si>
  <si>
    <t>Intrinsic Value 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</si>
</sst>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#,##0.00;\(#,##0.00\);\-\-"/>
    <numFmt numFmtId="165" formatCode="[$-409]mmm\-yy;@"/>
    <numFmt numFmtId="166" formatCode="#,##0.0000;\(#,##0.0000\);\-\-"/>
    <numFmt numFmtId="167" formatCode="#,##0.0;\(#,##0.0\);\-\-"/>
    <numFmt numFmtId="168" formatCode="#,##0.00000;\(#,##0.00000\);\-\-"/>
    <numFmt numFmtId="169" formatCode="0.000000000000000%"/>
  </numFmts>
  <fonts count="1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  <font>
      <sz val="11"/>
      <color rgb="FF0000FF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61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2" fillId="0" borderId="1" xfId="0" applyNumberFormat="1" applyFont="1" applyBorder="1"/>
    <xf numFmtId="164" fontId="3" fillId="0" borderId="0" xfId="0" applyNumberFormat="1" applyFont="1"/>
    <xf numFmtId="164" fontId="4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39" fontId="2" fillId="0" borderId="3" xfId="0" applyNumberFormat="1" applyFont="1" applyBorder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2" fillId="3" borderId="0" xfId="0" applyFont="1" applyFill="1"/>
    <xf numFmtId="39" fontId="2" fillId="3" borderId="0" xfId="0" applyNumberFormat="1" applyFont="1" applyFill="1"/>
    <xf numFmtId="164" fontId="0" fillId="4" borderId="0" xfId="0" applyNumberFormat="1" applyFill="1"/>
    <xf numFmtId="164" fontId="2" fillId="4" borderId="1" xfId="0" applyNumberFormat="1" applyFont="1" applyFill="1" applyBorder="1"/>
    <xf numFmtId="0" fontId="0" fillId="4" borderId="0" xfId="0" applyFill="1"/>
    <xf numFmtId="164" fontId="2" fillId="4" borderId="0" xfId="0" applyNumberFormat="1" applyFont="1" applyFill="1"/>
    <xf numFmtId="39" fontId="2" fillId="4" borderId="0" xfId="0" applyNumberFormat="1" applyFont="1" applyFill="1"/>
    <xf numFmtId="0" fontId="2" fillId="0" borderId="0" xfId="0" applyFont="1"/>
    <xf numFmtId="164" fontId="2" fillId="0" borderId="0" xfId="0" applyNumberFormat="1" applyFont="1"/>
    <xf numFmtId="39" fontId="0" fillId="0" borderId="0" xfId="0" applyNumberFormat="1"/>
    <xf numFmtId="0" fontId="0" fillId="5" borderId="0" xfId="0" applyFill="1"/>
    <xf numFmtId="164" fontId="3" fillId="5" borderId="0" xfId="0" applyNumberFormat="1" applyFont="1" applyFill="1"/>
    <xf numFmtId="0" fontId="0" fillId="5" borderId="1" xfId="0" applyFill="1" applyBorder="1"/>
    <xf numFmtId="39" fontId="0" fillId="5" borderId="1" xfId="0" applyNumberFormat="1" applyFill="1" applyBorder="1"/>
    <xf numFmtId="164" fontId="2" fillId="4" borderId="3" xfId="0" applyNumberFormat="1" applyFont="1" applyFill="1" applyBorder="1"/>
    <xf numFmtId="39" fontId="2" fillId="0" borderId="4" xfId="0" applyNumberFormat="1" applyFont="1" applyBorder="1"/>
    <xf numFmtId="0" fontId="1" fillId="2" borderId="0" xfId="0" applyFont="1" applyFill="1" applyAlignment="1">
      <alignment horizontal="left"/>
    </xf>
    <xf numFmtId="164" fontId="6" fillId="4" borderId="1" xfId="0" applyNumberFormat="1" applyFont="1" applyFill="1" applyBorder="1"/>
    <xf numFmtId="164" fontId="0" fillId="5" borderId="3" xfId="0" applyNumberFormat="1" applyFill="1" applyBorder="1"/>
    <xf numFmtId="39" fontId="2" fillId="0" borderId="0" xfId="0" applyNumberFormat="1" applyFont="1"/>
    <xf numFmtId="164" fontId="0" fillId="0" borderId="0" xfId="0" applyNumberFormat="1"/>
    <xf numFmtId="39" fontId="0" fillId="4" borderId="0" xfId="0" applyNumberFormat="1" applyFill="1"/>
    <xf numFmtId="39" fontId="0" fillId="5" borderId="0" xfId="0" applyNumberFormat="1" applyFill="1"/>
    <xf numFmtId="0" fontId="2" fillId="4" borderId="0" xfId="0" applyFont="1" applyFill="1"/>
    <xf numFmtId="0" fontId="2" fillId="5" borderId="0" xfId="0" applyFont="1" applyFill="1"/>
    <xf numFmtId="165" fontId="1" fillId="6" borderId="0" xfId="0" applyNumberFormat="1" applyFont="1" applyFill="1"/>
    <xf numFmtId="0" fontId="1" fillId="6" borderId="0" xfId="0" applyFont="1" applyFill="1"/>
    <xf numFmtId="0" fontId="2" fillId="4" borderId="1" xfId="0" applyFont="1" applyFill="1" applyBorder="1"/>
    <xf numFmtId="10" fontId="0" fillId="0" borderId="0" xfId="1" applyNumberFormat="1" applyFont="1"/>
    <xf numFmtId="10" fontId="0" fillId="0" borderId="0" xfId="0" applyNumberFormat="1"/>
    <xf numFmtId="164" fontId="8" fillId="0" borderId="0" xfId="0" applyNumberFormat="1" applyFon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39" fontId="9" fillId="5" borderId="1" xfId="0" applyNumberFormat="1" applyFont="1" applyFill="1" applyBorder="1"/>
    <xf numFmtId="0" fontId="0" fillId="7" borderId="0" xfId="0" applyFill="1"/>
    <xf numFmtId="164" fontId="3" fillId="7" borderId="0" xfId="0" applyNumberFormat="1" applyFont="1" applyFill="1"/>
    <xf numFmtId="164" fontId="0" fillId="7" borderId="0" xfId="0" applyNumberFormat="1" applyFill="1"/>
    <xf numFmtId="0" fontId="2" fillId="7" borderId="1" xfId="0" applyFont="1" applyFill="1" applyBorder="1"/>
    <xf numFmtId="164" fontId="2" fillId="0" borderId="3" xfId="0" applyNumberFormat="1" applyFont="1" applyBorder="1"/>
    <xf numFmtId="0" fontId="2" fillId="4" borderId="3" xfId="0" applyFont="1" applyFill="1" applyBorder="1"/>
    <xf numFmtId="164" fontId="2" fillId="0" borderId="4" xfId="0" applyNumberFormat="1" applyFont="1" applyBorder="1"/>
    <xf numFmtId="164" fontId="0" fillId="0" borderId="1" xfId="0" applyNumberFormat="1" applyBorder="1"/>
    <xf numFmtId="0" fontId="2" fillId="0" borderId="0" xfId="0" applyFont="1" applyFill="1" applyBorder="1"/>
    <xf numFmtId="0" fontId="2" fillId="0" borderId="1" xfId="0" applyFont="1" applyFill="1" applyBorder="1"/>
    <xf numFmtId="0" fontId="0" fillId="0" borderId="0" xfId="0" applyBorder="1"/>
    <xf numFmtId="0" fontId="1" fillId="2" borderId="0" xfId="0" applyFont="1" applyFill="1" applyBorder="1"/>
    <xf numFmtId="10" fontId="0" fillId="4" borderId="0" xfId="0" applyNumberFormat="1" applyFill="1"/>
    <xf numFmtId="10" fontId="3" fillId="0" borderId="0" xfId="0" applyNumberFormat="1" applyFont="1"/>
    <xf numFmtId="0" fontId="0" fillId="4" borderId="1" xfId="0" applyFill="1" applyBorder="1"/>
    <xf numFmtId="164" fontId="0" fillId="4" borderId="1" xfId="0" applyNumberFormat="1" applyFill="1" applyBorder="1"/>
    <xf numFmtId="164" fontId="2" fillId="8" borderId="0" xfId="0" applyNumberFormat="1" applyFont="1" applyFill="1"/>
    <xf numFmtId="164" fontId="2" fillId="3" borderId="0" xfId="0" applyNumberFormat="1" applyFont="1" applyFill="1"/>
    <xf numFmtId="10" fontId="2" fillId="0" borderId="0" xfId="1" applyNumberFormat="1" applyFont="1"/>
    <xf numFmtId="10" fontId="2" fillId="4" borderId="0" xfId="0" applyNumberFormat="1" applyFont="1" applyFill="1"/>
    <xf numFmtId="164" fontId="9" fillId="4" borderId="0" xfId="0" applyNumberFormat="1" applyFont="1" applyFill="1" applyAlignment="1">
      <alignment horizontal="center"/>
    </xf>
    <xf numFmtId="165" fontId="1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6" borderId="0" xfId="0" applyFont="1" applyFill="1" applyAlignment="1">
      <alignment horizontal="right"/>
    </xf>
    <xf numFmtId="0" fontId="1" fillId="6" borderId="0" xfId="0" applyFont="1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2" fillId="0" borderId="0" xfId="0" applyFont="1" applyFill="1"/>
    <xf numFmtId="164" fontId="3" fillId="0" borderId="0" xfId="0" applyNumberFormat="1" applyFont="1" applyFill="1"/>
    <xf numFmtId="39" fontId="0" fillId="0" borderId="0" xfId="0" applyNumberFormat="1" applyFill="1"/>
    <xf numFmtId="164" fontId="7" fillId="0" borderId="0" xfId="0" applyNumberFormat="1" applyFont="1" applyFill="1"/>
    <xf numFmtId="164" fontId="4" fillId="0" borderId="0" xfId="0" applyNumberFormat="1" applyFont="1" applyFill="1"/>
    <xf numFmtId="164" fontId="2" fillId="0" borderId="0" xfId="0" applyNumberFormat="1" applyFont="1" applyFill="1"/>
    <xf numFmtId="164" fontId="2" fillId="0" borderId="1" xfId="0" applyNumberFormat="1" applyFont="1" applyFill="1" applyBorder="1"/>
    <xf numFmtId="164" fontId="6" fillId="0" borderId="0" xfId="0" applyNumberFormat="1" applyFont="1" applyFill="1"/>
    <xf numFmtId="0" fontId="0" fillId="0" borderId="1" xfId="0" applyFill="1" applyBorder="1"/>
    <xf numFmtId="39" fontId="2" fillId="0" borderId="0" xfId="0" applyNumberFormat="1" applyFont="1" applyFill="1"/>
    <xf numFmtId="164" fontId="8" fillId="0" borderId="0" xfId="0" applyNumberFormat="1" applyFont="1" applyFill="1"/>
    <xf numFmtId="10" fontId="2" fillId="3" borderId="0" xfId="1" applyNumberFormat="1" applyFont="1" applyFill="1"/>
    <xf numFmtId="10" fontId="0" fillId="0" borderId="3" xfId="1" applyNumberFormat="1" applyFont="1" applyBorder="1"/>
    <xf numFmtId="10" fontId="0" fillId="0" borderId="4" xfId="1" applyNumberFormat="1" applyFont="1" applyBorder="1"/>
    <xf numFmtId="164" fontId="2" fillId="0" borderId="2" xfId="0" applyNumberFormat="1" applyFont="1" applyBorder="1"/>
    <xf numFmtId="10" fontId="2" fillId="0" borderId="3" xfId="1" applyNumberFormat="1" applyFont="1" applyBorder="1"/>
    <xf numFmtId="0" fontId="1" fillId="2" borderId="0" xfId="0" applyFont="1" applyFill="1" applyAlignment="1"/>
    <xf numFmtId="164" fontId="6" fillId="2" borderId="0" xfId="0" applyNumberFormat="1" applyFont="1" applyFill="1"/>
    <xf numFmtId="164" fontId="0" fillId="0" borderId="0" xfId="0" applyNumberFormat="1" applyAlignment="1">
      <alignment horizontal="right"/>
    </xf>
    <xf numFmtId="164" fontId="10" fillId="0" borderId="0" xfId="0" applyNumberFormat="1" applyFont="1"/>
    <xf numFmtId="166" fontId="11" fillId="7" borderId="0" xfId="0" applyNumberFormat="1" applyFont="1" applyFill="1" applyBorder="1" applyAlignment="1">
      <alignment horizontal="center"/>
    </xf>
    <xf numFmtId="167" fontId="11" fillId="7" borderId="0" xfId="0" applyNumberFormat="1" applyFont="1" applyFill="1" applyBorder="1"/>
    <xf numFmtId="168" fontId="3" fillId="0" borderId="0" xfId="0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0" fontId="0" fillId="0" borderId="0" xfId="0" applyFill="1" applyBorder="1"/>
    <xf numFmtId="166" fontId="2" fillId="0" borderId="4" xfId="0" applyNumberFormat="1" applyFont="1" applyBorder="1" applyAlignment="1">
      <alignment horizontal="right"/>
    </xf>
    <xf numFmtId="166" fontId="11" fillId="0" borderId="0" xfId="0" applyNumberFormat="1" applyFont="1" applyFill="1" applyBorder="1" applyAlignment="1">
      <alignment horizontal="center"/>
    </xf>
    <xf numFmtId="10" fontId="0" fillId="0" borderId="0" xfId="0" applyNumberFormat="1" applyFill="1" applyBorder="1"/>
    <xf numFmtId="10" fontId="0" fillId="0" borderId="0" xfId="1" applyNumberFormat="1" applyFont="1" applyFill="1" applyBorder="1"/>
    <xf numFmtId="9" fontId="3" fillId="0" borderId="0" xfId="0" applyNumberFormat="1" applyFont="1" applyFill="1" applyBorder="1"/>
    <xf numFmtId="10" fontId="3" fillId="0" borderId="0" xfId="0" applyNumberFormat="1" applyFont="1" applyFill="1" applyBorder="1"/>
    <xf numFmtId="10" fontId="7" fillId="0" borderId="0" xfId="0" applyNumberFormat="1" applyFont="1" applyFill="1" applyBorder="1"/>
    <xf numFmtId="164" fontId="10" fillId="0" borderId="0" xfId="0" applyNumberFormat="1" applyFont="1" applyFill="1" applyBorder="1"/>
    <xf numFmtId="166" fontId="11" fillId="0" borderId="1" xfId="0" applyNumberFormat="1" applyFont="1" applyFill="1" applyBorder="1" applyAlignment="1">
      <alignment horizontal="right"/>
    </xf>
    <xf numFmtId="166" fontId="0" fillId="0" borderId="0" xfId="0" applyNumberFormat="1" applyFill="1" applyBorder="1"/>
    <xf numFmtId="10" fontId="0" fillId="0" borderId="1" xfId="0" applyNumberFormat="1" applyFill="1" applyBorder="1"/>
    <xf numFmtId="10" fontId="0" fillId="0" borderId="1" xfId="1" applyNumberFormat="1" applyFont="1" applyFill="1" applyBorder="1"/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0" fontId="2" fillId="0" borderId="2" xfId="0" applyFont="1" applyFill="1" applyBorder="1"/>
    <xf numFmtId="10" fontId="2" fillId="0" borderId="4" xfId="1" applyNumberFormat="1" applyFont="1" applyFill="1" applyBorder="1"/>
    <xf numFmtId="169" fontId="0" fillId="0" borderId="0" xfId="0" applyNumberFormat="1"/>
    <xf numFmtId="10" fontId="2" fillId="8" borderId="0" xfId="1" applyNumberFormat="1" applyFont="1" applyFill="1"/>
    <xf numFmtId="164" fontId="0" fillId="0" borderId="0" xfId="0" applyNumberFormat="1" applyFont="1"/>
    <xf numFmtId="164" fontId="2" fillId="9" borderId="0" xfId="0" applyNumberFormat="1" applyFont="1" applyFill="1"/>
    <xf numFmtId="10" fontId="12" fillId="0" borderId="0" xfId="0" applyNumberFormat="1" applyFont="1" applyFill="1" applyBorder="1"/>
    <xf numFmtId="10" fontId="10" fillId="5" borderId="0" xfId="0" applyNumberFormat="1" applyFont="1" applyFill="1" applyBorder="1" applyAlignment="1">
      <alignment horizontal="center"/>
    </xf>
    <xf numFmtId="10" fontId="3" fillId="5" borderId="0" xfId="0" applyNumberFormat="1" applyFont="1" applyFill="1" applyBorder="1" applyAlignment="1">
      <alignment horizontal="center"/>
    </xf>
    <xf numFmtId="166" fontId="11" fillId="0" borderId="0" xfId="0" applyNumberFormat="1" applyFont="1" applyFill="1" applyBorder="1" applyAlignment="1">
      <alignment horizontal="right"/>
    </xf>
    <xf numFmtId="10" fontId="12" fillId="0" borderId="0" xfId="1" applyNumberFormat="1" applyFont="1" applyFill="1" applyBorder="1"/>
    <xf numFmtId="10" fontId="5" fillId="0" borderId="0" xfId="1" applyNumberFormat="1" applyFont="1"/>
    <xf numFmtId="0" fontId="9" fillId="0" borderId="0" xfId="0" applyFont="1"/>
    <xf numFmtId="164" fontId="4" fillId="4" borderId="0" xfId="0" applyNumberFormat="1" applyFont="1" applyFill="1"/>
    <xf numFmtId="164" fontId="3" fillId="4" borderId="0" xfId="0" applyNumberFormat="1" applyFont="1" applyFill="1"/>
    <xf numFmtId="164" fontId="6" fillId="4" borderId="0" xfId="0" applyNumberFormat="1" applyFont="1" applyFill="1"/>
    <xf numFmtId="39" fontId="9" fillId="5" borderId="0" xfId="0" applyNumberFormat="1" applyFont="1" applyFill="1"/>
    <xf numFmtId="0" fontId="3" fillId="4" borderId="0" xfId="0" applyFont="1" applyFill="1"/>
    <xf numFmtId="164" fontId="8" fillId="7" borderId="1" xfId="0" applyNumberFormat="1" applyFont="1" applyFill="1" applyBorder="1"/>
    <xf numFmtId="164" fontId="4" fillId="7" borderId="0" xfId="0" applyNumberFormat="1" applyFont="1" applyFill="1"/>
    <xf numFmtId="164" fontId="6" fillId="10" borderId="0" xfId="0" applyNumberFormat="1" applyFont="1" applyFill="1"/>
    <xf numFmtId="164" fontId="13" fillId="0" borderId="0" xfId="0" applyNumberFormat="1" applyFont="1"/>
    <xf numFmtId="10" fontId="3" fillId="0" borderId="0" xfId="1" applyNumberFormat="1" applyFont="1"/>
    <xf numFmtId="164" fontId="7" fillId="0" borderId="0" xfId="0" applyNumberFormat="1" applyFont="1"/>
    <xf numFmtId="0" fontId="7" fillId="0" borderId="0" xfId="0" applyFont="1"/>
    <xf numFmtId="164" fontId="14" fillId="12" borderId="0" xfId="0" applyNumberFormat="1" applyFont="1" applyFill="1" applyAlignment="1">
      <alignment horizontal="center"/>
    </xf>
    <xf numFmtId="164" fontId="7" fillId="12" borderId="0" xfId="0" applyNumberFormat="1" applyFont="1" applyFill="1"/>
    <xf numFmtId="0" fontId="8" fillId="10" borderId="0" xfId="0" applyFont="1" applyFill="1"/>
    <xf numFmtId="164" fontId="15" fillId="12" borderId="0" xfId="0" applyNumberFormat="1" applyFont="1" applyFill="1" applyAlignment="1">
      <alignment horizontal="center"/>
    </xf>
    <xf numFmtId="164" fontId="13" fillId="0" borderId="3" xfId="0" applyNumberFormat="1" applyFont="1" applyBorder="1"/>
    <xf numFmtId="164" fontId="15" fillId="12" borderId="3" xfId="0" applyNumberFormat="1" applyFont="1" applyFill="1" applyBorder="1" applyAlignment="1">
      <alignment horizontal="center"/>
    </xf>
    <xf numFmtId="10" fontId="2" fillId="0" borderId="4" xfId="1" applyNumberFormat="1" applyFont="1" applyBorder="1"/>
    <xf numFmtId="164" fontId="14" fillId="12" borderId="3" xfId="0" applyNumberFormat="1" applyFont="1" applyFill="1" applyBorder="1" applyAlignment="1">
      <alignment horizontal="center"/>
    </xf>
    <xf numFmtId="164" fontId="2" fillId="5" borderId="2" xfId="0" applyNumberFormat="1" applyFont="1" applyFill="1" applyBorder="1"/>
    <xf numFmtId="164" fontId="2" fillId="5" borderId="3" xfId="0" applyNumberFormat="1" applyFont="1" applyFill="1" applyBorder="1"/>
    <xf numFmtId="164" fontId="13" fillId="5" borderId="3" xfId="0" applyNumberFormat="1" applyFont="1" applyFill="1" applyBorder="1"/>
    <xf numFmtId="164" fontId="15" fillId="5" borderId="3" xfId="0" applyNumberFormat="1" applyFont="1" applyFill="1" applyBorder="1" applyAlignment="1">
      <alignment horizontal="center"/>
    </xf>
    <xf numFmtId="10" fontId="2" fillId="5" borderId="3" xfId="1" applyNumberFormat="1" applyFont="1" applyFill="1" applyBorder="1"/>
    <xf numFmtId="10" fontId="2" fillId="5" borderId="4" xfId="1" applyNumberFormat="1" applyFont="1" applyFill="1" applyBorder="1"/>
    <xf numFmtId="164" fontId="4" fillId="11" borderId="0" xfId="0" applyNumberFormat="1" applyFont="1" applyFill="1"/>
    <xf numFmtId="164" fontId="0" fillId="0" borderId="0" xfId="0" applyNumberFormat="1" applyFont="1" applyFill="1"/>
    <xf numFmtId="10" fontId="2" fillId="0" borderId="0" xfId="1" applyNumberFormat="1" applyFont="1" applyFill="1"/>
    <xf numFmtId="0" fontId="2" fillId="0" borderId="5" xfId="0" applyFont="1" applyBorder="1"/>
    <xf numFmtId="0" fontId="2" fillId="0" borderId="6" xfId="0" applyFont="1" applyBorder="1"/>
    <xf numFmtId="164" fontId="2" fillId="5" borderId="7" xfId="0" applyNumberFormat="1" applyFont="1" applyFill="1" applyBorder="1" applyAlignment="1">
      <alignment horizontal="center"/>
    </xf>
    <xf numFmtId="164" fontId="2" fillId="5" borderId="0" xfId="0" applyNumberFormat="1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16"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33CC33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2060"/>
  </sheetPr>
  <dimension ref="B2:BI159"/>
  <sheetViews>
    <sheetView zoomScale="80" zoomScaleNormal="80" workbookViewId="0">
      <pane xSplit="6" ySplit="7" topLeftCell="G8" activePane="bottomRight" state="frozen"/>
      <selection pane="topRight" activeCell="G1" sqref="G1"/>
      <selection pane="bottomLeft" activeCell="A4" sqref="A4"/>
      <selection pane="bottomRight" activeCell="I154" sqref="I154"/>
    </sheetView>
  </sheetViews>
  <sheetFormatPr defaultRowHeight="15" x14ac:dyDescent="0.25"/>
  <cols>
    <col min="1" max="3" width="1.7109375" customWidth="1"/>
    <col min="4" max="4" width="43.85546875" bestFit="1" customWidth="1"/>
    <col min="5" max="5" width="24.28515625" bestFit="1" customWidth="1"/>
    <col min="6" max="6" width="16.28515625" bestFit="1" customWidth="1"/>
    <col min="7" max="7" width="22.28515625" bestFit="1" customWidth="1"/>
    <col min="8" max="8" width="22" bestFit="1" customWidth="1"/>
    <col min="9" max="9" width="22.5703125" bestFit="1" customWidth="1"/>
    <col min="10" max="10" width="8.42578125" bestFit="1" customWidth="1"/>
    <col min="11" max="11" width="9.42578125" bestFit="1" customWidth="1"/>
    <col min="12" max="12" width="22.28515625" bestFit="1" customWidth="1"/>
    <col min="13" max="14" width="24" bestFit="1" customWidth="1"/>
    <col min="15" max="15" width="23.42578125" bestFit="1" customWidth="1"/>
    <col min="16" max="16" width="24" bestFit="1" customWidth="1"/>
    <col min="17" max="17" width="23" bestFit="1" customWidth="1"/>
    <col min="18" max="19" width="23.42578125" bestFit="1" customWidth="1"/>
    <col min="20" max="20" width="24" bestFit="1" customWidth="1"/>
    <col min="21" max="21" width="23.42578125" bestFit="1" customWidth="1"/>
    <col min="22" max="22" width="24" bestFit="1" customWidth="1"/>
  </cols>
  <sheetData>
    <row r="2" spans="2:61" x14ac:dyDescent="0.25">
      <c r="B2" s="42"/>
      <c r="C2" s="43" t="s">
        <v>89</v>
      </c>
      <c r="D2" s="42"/>
    </row>
    <row r="3" spans="2:61" x14ac:dyDescent="0.25">
      <c r="B3" s="42"/>
      <c r="C3" s="42"/>
      <c r="D3" s="42" t="s">
        <v>182</v>
      </c>
      <c r="E3" s="42" t="s">
        <v>179</v>
      </c>
      <c r="F3" s="42"/>
      <c r="G3" s="44">
        <v>45261</v>
      </c>
      <c r="H3" s="44">
        <f>EDATE(G3,12)</f>
        <v>45627</v>
      </c>
      <c r="I3" s="44">
        <f>EDATE(H3,12)</f>
        <v>45992</v>
      </c>
      <c r="J3" s="67" t="s">
        <v>87</v>
      </c>
      <c r="K3" s="67" t="s">
        <v>88</v>
      </c>
      <c r="L3" s="36">
        <f>I3</f>
        <v>45992</v>
      </c>
      <c r="M3" s="44">
        <f>EDATE(L3,12)</f>
        <v>46357</v>
      </c>
      <c r="N3" s="44">
        <f t="shared" ref="N3:V3" si="0">EDATE(M3,12)</f>
        <v>46722</v>
      </c>
      <c r="O3" s="44">
        <f t="shared" si="0"/>
        <v>47088</v>
      </c>
      <c r="P3" s="44">
        <f t="shared" si="0"/>
        <v>47453</v>
      </c>
      <c r="Q3" s="44">
        <f t="shared" si="0"/>
        <v>47818</v>
      </c>
      <c r="R3" s="44">
        <f t="shared" si="0"/>
        <v>48183</v>
      </c>
      <c r="S3" s="44">
        <f t="shared" si="0"/>
        <v>48549</v>
      </c>
      <c r="T3" s="44">
        <f t="shared" si="0"/>
        <v>48914</v>
      </c>
      <c r="U3" s="44">
        <f t="shared" si="0"/>
        <v>49279</v>
      </c>
      <c r="V3" s="44">
        <f t="shared" si="0"/>
        <v>49644</v>
      </c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</row>
    <row r="4" spans="2:61" x14ac:dyDescent="0.25">
      <c r="B4" s="42"/>
      <c r="C4" s="42"/>
      <c r="D4" s="42" t="s">
        <v>181</v>
      </c>
      <c r="E4" s="42" t="s">
        <v>180</v>
      </c>
      <c r="F4" s="42"/>
      <c r="G4" s="42">
        <f>F4+1</f>
        <v>1</v>
      </c>
      <c r="H4" s="42">
        <f>G4+1</f>
        <v>2</v>
      </c>
      <c r="I4" s="42">
        <f>H4+1</f>
        <v>3</v>
      </c>
      <c r="J4" s="37"/>
      <c r="K4" s="37"/>
      <c r="L4" s="37"/>
      <c r="M4" s="42">
        <f>L4+1</f>
        <v>1</v>
      </c>
      <c r="N4" s="42">
        <f t="shared" ref="N4:V4" si="1">M4+1</f>
        <v>2</v>
      </c>
      <c r="O4" s="42">
        <f t="shared" si="1"/>
        <v>3</v>
      </c>
      <c r="P4" s="42">
        <f t="shared" si="1"/>
        <v>4</v>
      </c>
      <c r="Q4" s="42">
        <f t="shared" si="1"/>
        <v>5</v>
      </c>
      <c r="R4" s="42">
        <f t="shared" si="1"/>
        <v>6</v>
      </c>
      <c r="S4" s="42">
        <f t="shared" si="1"/>
        <v>7</v>
      </c>
      <c r="T4" s="42">
        <f t="shared" si="1"/>
        <v>8</v>
      </c>
      <c r="U4" s="42">
        <f t="shared" si="1"/>
        <v>9</v>
      </c>
      <c r="V4" s="42">
        <f t="shared" si="1"/>
        <v>10</v>
      </c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</row>
    <row r="5" spans="2:61" x14ac:dyDescent="0.25">
      <c r="B5" s="42"/>
      <c r="C5" s="42"/>
      <c r="D5" s="42" t="s">
        <v>176</v>
      </c>
      <c r="E5" s="42" t="s">
        <v>179</v>
      </c>
      <c r="F5" s="44">
        <f>I3</f>
        <v>45992</v>
      </c>
      <c r="G5" s="42"/>
      <c r="H5" s="42"/>
      <c r="I5" s="42"/>
      <c r="J5" s="37"/>
      <c r="K5" s="37"/>
      <c r="L5" s="37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</row>
    <row r="6" spans="2:61" x14ac:dyDescent="0.25">
      <c r="B6" s="42"/>
      <c r="C6" s="42"/>
      <c r="D6" s="42" t="s">
        <v>177</v>
      </c>
      <c r="E6" s="42" t="s">
        <v>178</v>
      </c>
      <c r="F6" s="44"/>
      <c r="G6" s="9" t="b">
        <f>IF(ISNUMBER(G3),G3&lt;=$F$5,"N/A")</f>
        <v>1</v>
      </c>
      <c r="H6" s="9" t="b">
        <f>IF(ISNUMBER(H3),H3&lt;=$F$5,"N/A")</f>
        <v>1</v>
      </c>
      <c r="I6" s="9" t="b">
        <f t="shared" ref="I6:V6" si="2">IF(ISNUMBER(I3),I3&lt;=$F$5,"N/A")</f>
        <v>1</v>
      </c>
      <c r="J6" s="70" t="str">
        <f t="shared" si="2"/>
        <v>N/A</v>
      </c>
      <c r="K6" s="70" t="str">
        <f t="shared" si="2"/>
        <v>N/A</v>
      </c>
      <c r="L6" s="69" t="b">
        <f t="shared" si="2"/>
        <v>1</v>
      </c>
      <c r="M6" s="9" t="b">
        <f t="shared" si="2"/>
        <v>0</v>
      </c>
      <c r="N6" s="9" t="b">
        <f t="shared" si="2"/>
        <v>0</v>
      </c>
      <c r="O6" s="9" t="b">
        <f t="shared" si="2"/>
        <v>0</v>
      </c>
      <c r="P6" s="9" t="b">
        <f t="shared" si="2"/>
        <v>0</v>
      </c>
      <c r="Q6" s="9" t="b">
        <f t="shared" si="2"/>
        <v>0</v>
      </c>
      <c r="R6" s="9" t="b">
        <f t="shared" si="2"/>
        <v>0</v>
      </c>
      <c r="S6" s="9" t="b">
        <f t="shared" si="2"/>
        <v>0</v>
      </c>
      <c r="T6" s="9" t="b">
        <f t="shared" si="2"/>
        <v>0</v>
      </c>
      <c r="U6" s="9" t="b">
        <f t="shared" si="2"/>
        <v>0</v>
      </c>
      <c r="V6" s="9" t="b">
        <f t="shared" si="2"/>
        <v>0</v>
      </c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</row>
    <row r="8" spans="2:61" x14ac:dyDescent="0.25">
      <c r="B8" s="42"/>
      <c r="C8" s="42" t="s">
        <v>116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</row>
    <row r="9" spans="2:61" x14ac:dyDescent="0.25">
      <c r="J9" s="15"/>
      <c r="K9" s="15"/>
      <c r="L9" s="15"/>
    </row>
    <row r="10" spans="2:61" x14ac:dyDescent="0.25">
      <c r="C10" t="str">
        <f t="shared" ref="C10" si="3">C21</f>
        <v xml:space="preserve">loan to members </v>
      </c>
      <c r="E10" t="s">
        <v>175</v>
      </c>
      <c r="G10" s="39"/>
      <c r="H10" s="39">
        <f>H21/G21-1</f>
        <v>0.12038403712704882</v>
      </c>
      <c r="I10" s="39">
        <f>I21/H21-1</f>
        <v>0.19078820125408913</v>
      </c>
      <c r="J10" s="15"/>
      <c r="K10" s="15"/>
      <c r="L10" s="58">
        <f t="shared" ref="L10:L17" si="4">I10</f>
        <v>0.19078820125408913</v>
      </c>
      <c r="M10" s="59">
        <f>L10</f>
        <v>0.19078820125408913</v>
      </c>
      <c r="N10" s="40">
        <f>M10</f>
        <v>0.19078820125408913</v>
      </c>
      <c r="O10" s="40">
        <f t="shared" ref="O10:V10" si="5">N10</f>
        <v>0.19078820125408913</v>
      </c>
      <c r="P10" s="40">
        <f t="shared" si="5"/>
        <v>0.19078820125408913</v>
      </c>
      <c r="Q10" s="40">
        <f t="shared" si="5"/>
        <v>0.19078820125408913</v>
      </c>
      <c r="R10" s="40">
        <f t="shared" si="5"/>
        <v>0.19078820125408913</v>
      </c>
      <c r="S10" s="40">
        <f t="shared" si="5"/>
        <v>0.19078820125408913</v>
      </c>
      <c r="T10" s="40">
        <f t="shared" si="5"/>
        <v>0.19078820125408913</v>
      </c>
      <c r="U10" s="40">
        <f t="shared" si="5"/>
        <v>0.19078820125408913</v>
      </c>
      <c r="V10" s="40">
        <f t="shared" si="5"/>
        <v>0.19078820125408913</v>
      </c>
    </row>
    <row r="11" spans="2:61" x14ac:dyDescent="0.25">
      <c r="C11" t="str">
        <f>C22</f>
        <v>Prepayments and sundry receivables</v>
      </c>
      <c r="E11" t="s">
        <v>183</v>
      </c>
      <c r="G11" s="39">
        <f t="shared" ref="G11" si="6">G22/G$77</f>
        <v>0.2023059788447687</v>
      </c>
      <c r="H11" s="39">
        <f>H22/H$77</f>
        <v>0.22071099138383496</v>
      </c>
      <c r="I11" s="39">
        <f>I22/I$77</f>
        <v>0.12422853857317422</v>
      </c>
      <c r="J11" s="15"/>
      <c r="K11" s="15"/>
      <c r="L11" s="58">
        <f t="shared" si="4"/>
        <v>0.12422853857317422</v>
      </c>
      <c r="M11" s="59">
        <f>AVERAGE(H11:I11)</f>
        <v>0.17246976497850458</v>
      </c>
      <c r="N11" s="40">
        <f t="shared" ref="N11:N17" si="7">M11</f>
        <v>0.17246976497850458</v>
      </c>
      <c r="O11" s="40">
        <f t="shared" ref="O11:V11" si="8">N11</f>
        <v>0.17246976497850458</v>
      </c>
      <c r="P11" s="40">
        <f t="shared" si="8"/>
        <v>0.17246976497850458</v>
      </c>
      <c r="Q11" s="40">
        <f t="shared" si="8"/>
        <v>0.17246976497850458</v>
      </c>
      <c r="R11" s="40">
        <f t="shared" si="8"/>
        <v>0.17246976497850458</v>
      </c>
      <c r="S11" s="40">
        <f t="shared" si="8"/>
        <v>0.17246976497850458</v>
      </c>
      <c r="T11" s="40">
        <f t="shared" si="8"/>
        <v>0.17246976497850458</v>
      </c>
      <c r="U11" s="40">
        <f t="shared" si="8"/>
        <v>0.17246976497850458</v>
      </c>
      <c r="V11" s="40">
        <f t="shared" si="8"/>
        <v>0.17246976497850458</v>
      </c>
    </row>
    <row r="12" spans="2:61" x14ac:dyDescent="0.25">
      <c r="C12" t="str">
        <f>C23</f>
        <v>Inventories</v>
      </c>
      <c r="E12" t="s">
        <v>183</v>
      </c>
      <c r="G12" s="39">
        <f t="shared" ref="G12:H12" si="9">G23/G$77</f>
        <v>1.8615807387488165E-3</v>
      </c>
      <c r="H12" s="39">
        <f t="shared" si="9"/>
        <v>1.4246473850834903E-3</v>
      </c>
      <c r="I12" s="39">
        <f>I23/I$77</f>
        <v>1.4449398001008099E-3</v>
      </c>
      <c r="J12" s="15"/>
      <c r="K12" s="15"/>
      <c r="L12" s="58">
        <f t="shared" si="4"/>
        <v>1.4449398001008099E-3</v>
      </c>
      <c r="M12" s="59">
        <f>AVERAGE(H12:I12)</f>
        <v>1.43479359259215E-3</v>
      </c>
      <c r="N12" s="40">
        <f t="shared" si="7"/>
        <v>1.43479359259215E-3</v>
      </c>
      <c r="O12" s="40">
        <f t="shared" ref="O12:V12" si="10">N12</f>
        <v>1.43479359259215E-3</v>
      </c>
      <c r="P12" s="40">
        <f t="shared" si="10"/>
        <v>1.43479359259215E-3</v>
      </c>
      <c r="Q12" s="40">
        <f t="shared" si="10"/>
        <v>1.43479359259215E-3</v>
      </c>
      <c r="R12" s="40">
        <f t="shared" si="10"/>
        <v>1.43479359259215E-3</v>
      </c>
      <c r="S12" s="40">
        <f t="shared" si="10"/>
        <v>1.43479359259215E-3</v>
      </c>
      <c r="T12" s="40">
        <f t="shared" si="10"/>
        <v>1.43479359259215E-3</v>
      </c>
      <c r="U12" s="40">
        <f t="shared" si="10"/>
        <v>1.43479359259215E-3</v>
      </c>
      <c r="V12" s="40">
        <f t="shared" si="10"/>
        <v>1.43479359259215E-3</v>
      </c>
    </row>
    <row r="13" spans="2:61" x14ac:dyDescent="0.25">
      <c r="C13" t="str">
        <f>C24</f>
        <v>Financial assets</v>
      </c>
      <c r="E13" t="s">
        <v>175</v>
      </c>
      <c r="G13" s="39"/>
      <c r="H13" s="39">
        <f>H24/G24-1</f>
        <v>-2.1995219476629191E-2</v>
      </c>
      <c r="I13" s="39">
        <f>I24/H24-1</f>
        <v>2.8400135054341202</v>
      </c>
      <c r="J13" s="15"/>
      <c r="K13" s="15"/>
      <c r="L13" s="58">
        <f t="shared" si="4"/>
        <v>2.8400135054341202</v>
      </c>
      <c r="M13" s="59">
        <v>0</v>
      </c>
      <c r="N13" s="40">
        <f t="shared" si="7"/>
        <v>0</v>
      </c>
      <c r="O13" s="40">
        <f t="shared" ref="O13:V13" si="11">N13</f>
        <v>0</v>
      </c>
      <c r="P13" s="40">
        <f t="shared" si="11"/>
        <v>0</v>
      </c>
      <c r="Q13" s="40">
        <f t="shared" si="11"/>
        <v>0</v>
      </c>
      <c r="R13" s="40">
        <f t="shared" si="11"/>
        <v>0</v>
      </c>
      <c r="S13" s="40">
        <f t="shared" si="11"/>
        <v>0</v>
      </c>
      <c r="T13" s="40">
        <f t="shared" si="11"/>
        <v>0</v>
      </c>
      <c r="U13" s="40">
        <f t="shared" si="11"/>
        <v>0</v>
      </c>
      <c r="V13" s="40">
        <f t="shared" si="11"/>
        <v>0</v>
      </c>
    </row>
    <row r="14" spans="2:61" x14ac:dyDescent="0.25">
      <c r="C14" t="str">
        <f>C25</f>
        <v>Intangible assets</v>
      </c>
      <c r="E14" t="s">
        <v>175</v>
      </c>
      <c r="G14" s="39"/>
      <c r="H14" s="39">
        <f>H25/G25-1</f>
        <v>2.7883517913429769</v>
      </c>
      <c r="I14" s="39">
        <f>I25/H25-1</f>
        <v>-0.21117367773492046</v>
      </c>
      <c r="J14" s="15"/>
      <c r="K14" s="15"/>
      <c r="L14" s="58">
        <f t="shared" si="4"/>
        <v>-0.21117367773492046</v>
      </c>
      <c r="M14" s="59">
        <v>0</v>
      </c>
      <c r="N14" s="40">
        <f t="shared" si="7"/>
        <v>0</v>
      </c>
      <c r="O14" s="40">
        <f t="shared" ref="O14:V14" si="12">N14</f>
        <v>0</v>
      </c>
      <c r="P14" s="40">
        <f t="shared" si="12"/>
        <v>0</v>
      </c>
      <c r="Q14" s="40">
        <f t="shared" si="12"/>
        <v>0</v>
      </c>
      <c r="R14" s="40">
        <f t="shared" si="12"/>
        <v>0</v>
      </c>
      <c r="S14" s="40">
        <f t="shared" si="12"/>
        <v>0</v>
      </c>
      <c r="T14" s="40">
        <f t="shared" si="12"/>
        <v>0</v>
      </c>
      <c r="U14" s="40">
        <f t="shared" si="12"/>
        <v>0</v>
      </c>
      <c r="V14" s="40">
        <f t="shared" si="12"/>
        <v>0</v>
      </c>
    </row>
    <row r="15" spans="2:61" x14ac:dyDescent="0.25">
      <c r="C15" t="str">
        <f>C26</f>
        <v>Lease improvements</v>
      </c>
      <c r="E15" t="s">
        <v>183</v>
      </c>
      <c r="G15" s="39">
        <f t="shared" ref="G15:H15" si="13">G26/G$77</f>
        <v>9.9658200626919595E-3</v>
      </c>
      <c r="H15" s="39">
        <f t="shared" si="13"/>
        <v>5.5695316649350454E-3</v>
      </c>
      <c r="I15" s="39">
        <f>I26/I$77</f>
        <v>9.0039333922459705E-3</v>
      </c>
      <c r="J15" s="15"/>
      <c r="K15" s="15"/>
      <c r="L15" s="58">
        <f t="shared" si="4"/>
        <v>9.0039333922459705E-3</v>
      </c>
      <c r="M15" s="59">
        <f>AVERAGE(H15:I15)</f>
        <v>7.2867325285905079E-3</v>
      </c>
      <c r="N15" s="40">
        <f t="shared" si="7"/>
        <v>7.2867325285905079E-3</v>
      </c>
      <c r="O15" s="40">
        <f t="shared" ref="O15:V15" si="14">N15</f>
        <v>7.2867325285905079E-3</v>
      </c>
      <c r="P15" s="40">
        <f t="shared" si="14"/>
        <v>7.2867325285905079E-3</v>
      </c>
      <c r="Q15" s="40">
        <f t="shared" si="14"/>
        <v>7.2867325285905079E-3</v>
      </c>
      <c r="R15" s="40">
        <f t="shared" si="14"/>
        <v>7.2867325285905079E-3</v>
      </c>
      <c r="S15" s="40">
        <f t="shared" si="14"/>
        <v>7.2867325285905079E-3</v>
      </c>
      <c r="T15" s="40">
        <f t="shared" si="14"/>
        <v>7.2867325285905079E-3</v>
      </c>
      <c r="U15" s="40">
        <f t="shared" si="14"/>
        <v>7.2867325285905079E-3</v>
      </c>
      <c r="V15" s="40">
        <f t="shared" si="14"/>
        <v>7.2867325285905079E-3</v>
      </c>
    </row>
    <row r="16" spans="2:61" x14ac:dyDescent="0.25">
      <c r="C16" t="str">
        <f>C31</f>
        <v>Sundry creditors and accruals</v>
      </c>
      <c r="E16" t="s">
        <v>184</v>
      </c>
      <c r="G16" s="39">
        <f t="shared" ref="G16:H16" si="15">-G31/G87</f>
        <v>0.23508178898235738</v>
      </c>
      <c r="H16" s="39">
        <f t="shared" si="15"/>
        <v>0.1681326748660229</v>
      </c>
      <c r="I16" s="39">
        <f>-I31/I87</f>
        <v>0.26563900864533652</v>
      </c>
      <c r="J16" s="15"/>
      <c r="K16" s="15"/>
      <c r="L16" s="58">
        <f t="shared" si="4"/>
        <v>0.26563900864533652</v>
      </c>
      <c r="M16" s="59">
        <f>AVERAGE(H16:I16)</f>
        <v>0.21688584175567971</v>
      </c>
      <c r="N16" s="40">
        <f t="shared" si="7"/>
        <v>0.21688584175567971</v>
      </c>
      <c r="O16" s="40">
        <f t="shared" ref="O16:V16" si="16">N16</f>
        <v>0.21688584175567971</v>
      </c>
      <c r="P16" s="40">
        <f t="shared" si="16"/>
        <v>0.21688584175567971</v>
      </c>
      <c r="Q16" s="40">
        <f t="shared" si="16"/>
        <v>0.21688584175567971</v>
      </c>
      <c r="R16" s="40">
        <f t="shared" si="16"/>
        <v>0.21688584175567971</v>
      </c>
      <c r="S16" s="40">
        <f t="shared" si="16"/>
        <v>0.21688584175567971</v>
      </c>
      <c r="T16" s="40">
        <f t="shared" si="16"/>
        <v>0.21688584175567971</v>
      </c>
      <c r="U16" s="40">
        <f t="shared" si="16"/>
        <v>0.21688584175567971</v>
      </c>
      <c r="V16" s="40">
        <f t="shared" si="16"/>
        <v>0.21688584175567971</v>
      </c>
    </row>
    <row r="17" spans="3:23" x14ac:dyDescent="0.25">
      <c r="C17" t="s">
        <v>185</v>
      </c>
      <c r="E17" t="s">
        <v>175</v>
      </c>
      <c r="G17" s="39"/>
      <c r="H17" s="39">
        <f>H33/G33-1</f>
        <v>0.11381663622495442</v>
      </c>
      <c r="I17" s="39">
        <f>I33/H33-1</f>
        <v>7.3584693001718771E-2</v>
      </c>
      <c r="J17" s="15"/>
      <c r="K17" s="15"/>
      <c r="L17" s="58">
        <f t="shared" si="4"/>
        <v>7.3584693001718771E-2</v>
      </c>
      <c r="M17" s="59">
        <f>L17</f>
        <v>7.3584693001718771E-2</v>
      </c>
      <c r="N17" s="40">
        <f t="shared" si="7"/>
        <v>7.3584693001718771E-2</v>
      </c>
      <c r="O17" s="40">
        <f t="shared" ref="O17:V17" si="17">N17</f>
        <v>7.3584693001718771E-2</v>
      </c>
      <c r="P17" s="40">
        <f t="shared" si="17"/>
        <v>7.3584693001718771E-2</v>
      </c>
      <c r="Q17" s="40">
        <f t="shared" si="17"/>
        <v>7.3584693001718771E-2</v>
      </c>
      <c r="R17" s="40">
        <f t="shared" si="17"/>
        <v>7.3584693001718771E-2</v>
      </c>
      <c r="S17" s="40">
        <f t="shared" si="17"/>
        <v>7.3584693001718771E-2</v>
      </c>
      <c r="T17" s="40">
        <f t="shared" si="17"/>
        <v>7.3584693001718771E-2</v>
      </c>
      <c r="U17" s="40">
        <f t="shared" si="17"/>
        <v>7.3584693001718771E-2</v>
      </c>
      <c r="V17" s="40">
        <f t="shared" si="17"/>
        <v>7.3584693001718771E-2</v>
      </c>
    </row>
    <row r="18" spans="3:23" x14ac:dyDescent="0.25">
      <c r="H18" s="39"/>
      <c r="I18" s="39"/>
      <c r="J18" s="15"/>
      <c r="K18" s="15"/>
      <c r="L18" s="58"/>
      <c r="M18" s="59"/>
      <c r="N18" s="40"/>
      <c r="O18" s="40"/>
      <c r="P18" s="40"/>
      <c r="Q18" s="40"/>
      <c r="R18" s="40"/>
      <c r="S18" s="40"/>
      <c r="T18" s="40"/>
      <c r="U18" s="40"/>
      <c r="V18" s="40"/>
    </row>
    <row r="19" spans="3:23" x14ac:dyDescent="0.25">
      <c r="J19" s="15"/>
      <c r="K19" s="15"/>
      <c r="L19" s="15"/>
    </row>
    <row r="20" spans="3:23" x14ac:dyDescent="0.25">
      <c r="C20" s="18" t="s">
        <v>155</v>
      </c>
      <c r="E20" t="s">
        <v>37</v>
      </c>
      <c r="F20" s="125"/>
      <c r="G20" s="31">
        <f>G157</f>
        <v>1178618288</v>
      </c>
      <c r="H20" s="72">
        <f>H157</f>
        <v>1757072929</v>
      </c>
      <c r="I20" s="31">
        <f>I157</f>
        <v>1784406362</v>
      </c>
      <c r="J20" s="15"/>
      <c r="K20" s="15"/>
      <c r="L20" s="13">
        <f>I20+J20-K20</f>
        <v>1784406362</v>
      </c>
      <c r="M20" s="31">
        <f>M157</f>
        <v>1632537147.7472825</v>
      </c>
      <c r="N20" s="31">
        <f t="shared" ref="N20:V20" si="18">N157</f>
        <v>1454491306.7702129</v>
      </c>
      <c r="O20" s="31">
        <f t="shared" si="18"/>
        <v>1157795410.0047081</v>
      </c>
      <c r="P20" s="31">
        <f t="shared" si="18"/>
        <v>716695092.43074548</v>
      </c>
      <c r="Q20" s="31">
        <f t="shared" si="18"/>
        <v>100280736.07694721</v>
      </c>
      <c r="R20" s="31">
        <f t="shared" si="18"/>
        <v>-728515339.54951823</v>
      </c>
      <c r="S20" s="31">
        <f t="shared" si="18"/>
        <v>-1814114603.8318238</v>
      </c>
      <c r="T20" s="31">
        <f t="shared" si="18"/>
        <v>-3209717902.7921667</v>
      </c>
      <c r="U20" s="31">
        <f t="shared" si="18"/>
        <v>-4979004914.1078148</v>
      </c>
      <c r="V20" s="31">
        <f t="shared" si="18"/>
        <v>-7198159885.0427151</v>
      </c>
    </row>
    <row r="21" spans="3:23" x14ac:dyDescent="0.25">
      <c r="C21" s="18" t="s">
        <v>156</v>
      </c>
      <c r="E21" t="s">
        <v>37</v>
      </c>
      <c r="F21" s="125"/>
      <c r="G21" s="4">
        <v>4100662694</v>
      </c>
      <c r="H21" s="4">
        <v>4594317024</v>
      </c>
      <c r="I21" s="4">
        <v>5470858505</v>
      </c>
      <c r="J21" s="15"/>
      <c r="K21" s="15"/>
      <c r="L21" s="13">
        <f t="shared" ref="L21:L28" si="19">I21+J21-K21</f>
        <v>5470858505</v>
      </c>
      <c r="M21" s="31">
        <f>L21*(1+M10)</f>
        <v>6514633758.4845848</v>
      </c>
      <c r="N21" s="31">
        <f t="shared" ref="N21:V21" si="20">M21*(1+N10)</f>
        <v>7757549015.0950251</v>
      </c>
      <c r="O21" s="31">
        <f t="shared" si="20"/>
        <v>9237597837.8254356</v>
      </c>
      <c r="P21" s="31">
        <f t="shared" si="20"/>
        <v>11000022513.212814</v>
      </c>
      <c r="Q21" s="31">
        <f t="shared" si="20"/>
        <v>13098697022.263172</v>
      </c>
      <c r="R21" s="31">
        <f t="shared" si="20"/>
        <v>15597773865.913055</v>
      </c>
      <c r="S21" s="31">
        <f t="shared" si="20"/>
        <v>18573645085.358646</v>
      </c>
      <c r="T21" s="31">
        <f t="shared" si="20"/>
        <v>22117277421.926075</v>
      </c>
      <c r="U21" s="31">
        <f t="shared" si="20"/>
        <v>26336992997.893028</v>
      </c>
      <c r="V21" s="31">
        <f t="shared" si="20"/>
        <v>31361780518.40258</v>
      </c>
    </row>
    <row r="22" spans="3:23" x14ac:dyDescent="0.25">
      <c r="C22" s="18" t="s">
        <v>157</v>
      </c>
      <c r="E22" t="s">
        <v>37</v>
      </c>
      <c r="G22" s="4">
        <v>140773968</v>
      </c>
      <c r="H22" s="4">
        <v>237371687</v>
      </c>
      <c r="I22" s="4">
        <v>157893571</v>
      </c>
      <c r="J22" s="15"/>
      <c r="K22" s="15"/>
      <c r="L22" s="13">
        <f t="shared" si="19"/>
        <v>157893571</v>
      </c>
      <c r="M22" s="31">
        <f t="shared" ref="M22:V22" si="21">M11*M$77</f>
        <v>294020985.6391167</v>
      </c>
      <c r="N22" s="31">
        <f t="shared" si="21"/>
        <v>331723507.1705513</v>
      </c>
      <c r="O22" s="31">
        <f t="shared" si="21"/>
        <v>376951490.43507773</v>
      </c>
      <c r="P22" s="31">
        <f t="shared" si="21"/>
        <v>431165154.39277011</v>
      </c>
      <c r="Q22" s="31">
        <f t="shared" si="21"/>
        <v>496105109.67269886</v>
      </c>
      <c r="R22" s="31">
        <f t="shared" si="21"/>
        <v>573845986.38281059</v>
      </c>
      <c r="S22" s="31">
        <f t="shared" si="21"/>
        <v>666860303.21490014</v>
      </c>
      <c r="T22" s="31">
        <f t="shared" si="21"/>
        <v>778094532.47978544</v>
      </c>
      <c r="U22" s="31">
        <f t="shared" si="21"/>
        <v>911059688.68186069</v>
      </c>
      <c r="V22" s="31">
        <f t="shared" si="21"/>
        <v>1069939212.3791997</v>
      </c>
    </row>
    <row r="23" spans="3:23" x14ac:dyDescent="0.25">
      <c r="C23" s="18" t="s">
        <v>158</v>
      </c>
      <c r="E23" t="s">
        <v>37</v>
      </c>
      <c r="G23" s="4">
        <v>1295375</v>
      </c>
      <c r="H23" s="4">
        <v>1532189</v>
      </c>
      <c r="I23" s="4">
        <v>1836508</v>
      </c>
      <c r="J23" s="15"/>
      <c r="K23" s="15"/>
      <c r="L23" s="13">
        <f t="shared" si="19"/>
        <v>1836508</v>
      </c>
      <c r="M23" s="31">
        <f t="shared" ref="M23:V23" si="22">M12*M$77</f>
        <v>2445990.6136893663</v>
      </c>
      <c r="N23" s="31">
        <f t="shared" si="22"/>
        <v>2759641.741610901</v>
      </c>
      <c r="O23" s="31">
        <f t="shared" si="22"/>
        <v>3135897.9544137376</v>
      </c>
      <c r="P23" s="31">
        <f t="shared" si="22"/>
        <v>3586906.9627876733</v>
      </c>
      <c r="Q23" s="31">
        <f t="shared" si="22"/>
        <v>4127149.0843588095</v>
      </c>
      <c r="R23" s="31">
        <f t="shared" si="22"/>
        <v>4773883.3789180117</v>
      </c>
      <c r="S23" s="31">
        <f t="shared" si="22"/>
        <v>5547678.9820293812</v>
      </c>
      <c r="T23" s="31">
        <f t="shared" si="22"/>
        <v>6473047.8978278982</v>
      </c>
      <c r="U23" s="31">
        <f t="shared" si="22"/>
        <v>7579198.6146247182</v>
      </c>
      <c r="V23" s="31">
        <f t="shared" si="22"/>
        <v>8900933.6017596871</v>
      </c>
    </row>
    <row r="24" spans="3:23" x14ac:dyDescent="0.25">
      <c r="C24" s="18" t="s">
        <v>159</v>
      </c>
      <c r="E24" t="s">
        <v>37</v>
      </c>
      <c r="G24" s="4">
        <v>471449217</v>
      </c>
      <c r="H24" s="4">
        <v>461079588</v>
      </c>
      <c r="I24" s="4">
        <v>1770551845</v>
      </c>
      <c r="J24" s="15"/>
      <c r="K24" s="15"/>
      <c r="L24" s="13">
        <f t="shared" si="19"/>
        <v>1770551845</v>
      </c>
      <c r="M24" s="31">
        <f t="shared" ref="M24:V24" si="23">L24*(1+M13)</f>
        <v>1770551845</v>
      </c>
      <c r="N24" s="31">
        <f t="shared" si="23"/>
        <v>1770551845</v>
      </c>
      <c r="O24" s="31">
        <f t="shared" si="23"/>
        <v>1770551845</v>
      </c>
      <c r="P24" s="31">
        <f t="shared" si="23"/>
        <v>1770551845</v>
      </c>
      <c r="Q24" s="31">
        <f t="shared" si="23"/>
        <v>1770551845</v>
      </c>
      <c r="R24" s="31">
        <f t="shared" si="23"/>
        <v>1770551845</v>
      </c>
      <c r="S24" s="31">
        <f t="shared" si="23"/>
        <v>1770551845</v>
      </c>
      <c r="T24" s="31">
        <f t="shared" si="23"/>
        <v>1770551845</v>
      </c>
      <c r="U24" s="31">
        <f t="shared" si="23"/>
        <v>1770551845</v>
      </c>
      <c r="V24" s="31">
        <f t="shared" si="23"/>
        <v>1770551845</v>
      </c>
    </row>
    <row r="25" spans="3:23" x14ac:dyDescent="0.25">
      <c r="C25" s="18" t="s">
        <v>140</v>
      </c>
      <c r="E25" t="s">
        <v>37</v>
      </c>
      <c r="G25" s="4">
        <v>7763477</v>
      </c>
      <c r="H25" s="4">
        <v>29410782</v>
      </c>
      <c r="I25" s="4">
        <v>23199999</v>
      </c>
      <c r="J25" s="15"/>
      <c r="K25" s="15"/>
      <c r="L25" s="13">
        <f t="shared" si="19"/>
        <v>23199999</v>
      </c>
      <c r="M25" s="31">
        <f>L25</f>
        <v>23199999</v>
      </c>
      <c r="N25" s="31">
        <f t="shared" ref="N25:V25" si="24">M25</f>
        <v>23199999</v>
      </c>
      <c r="O25" s="31">
        <f t="shared" si="24"/>
        <v>23199999</v>
      </c>
      <c r="P25" s="31">
        <f t="shared" si="24"/>
        <v>23199999</v>
      </c>
      <c r="Q25" s="31">
        <f t="shared" si="24"/>
        <v>23199999</v>
      </c>
      <c r="R25" s="31">
        <f t="shared" si="24"/>
        <v>23199999</v>
      </c>
      <c r="S25" s="31">
        <f t="shared" si="24"/>
        <v>23199999</v>
      </c>
      <c r="T25" s="31">
        <f t="shared" si="24"/>
        <v>23199999</v>
      </c>
      <c r="U25" s="31">
        <f t="shared" si="24"/>
        <v>23199999</v>
      </c>
      <c r="V25" s="31">
        <f t="shared" si="24"/>
        <v>23199999</v>
      </c>
    </row>
    <row r="26" spans="3:23" x14ac:dyDescent="0.25">
      <c r="C26" s="18" t="s">
        <v>160</v>
      </c>
      <c r="E26" t="s">
        <v>37</v>
      </c>
      <c r="G26" s="4">
        <v>6934684</v>
      </c>
      <c r="H26" s="4">
        <v>5989956</v>
      </c>
      <c r="I26" s="4">
        <v>11443934</v>
      </c>
      <c r="J26" s="15"/>
      <c r="K26" s="15"/>
      <c r="L26" s="13">
        <f t="shared" si="19"/>
        <v>11443934</v>
      </c>
      <c r="M26" s="31">
        <f t="shared" ref="M26:V26" si="25">M15*M$77</f>
        <v>12422190.523723474</v>
      </c>
      <c r="N26" s="31">
        <f t="shared" si="25"/>
        <v>14015096.909878919</v>
      </c>
      <c r="O26" s="31">
        <f t="shared" si="25"/>
        <v>15925949.034581739</v>
      </c>
      <c r="P26" s="31">
        <f t="shared" si="25"/>
        <v>18216440.174891621</v>
      </c>
      <c r="Q26" s="31">
        <f t="shared" si="25"/>
        <v>20960109.968854904</v>
      </c>
      <c r="R26" s="31">
        <f t="shared" si="25"/>
        <v>24244610.154700909</v>
      </c>
      <c r="S26" s="31">
        <f t="shared" si="25"/>
        <v>28174402.997924663</v>
      </c>
      <c r="T26" s="31">
        <f t="shared" si="25"/>
        <v>32873974.98828572</v>
      </c>
      <c r="U26" s="31">
        <f t="shared" si="25"/>
        <v>38491664.146658115</v>
      </c>
      <c r="V26" s="31">
        <f t="shared" si="25"/>
        <v>45204218.046158448</v>
      </c>
    </row>
    <row r="27" spans="3:23" x14ac:dyDescent="0.25">
      <c r="C27" s="18" t="s">
        <v>161</v>
      </c>
      <c r="E27" t="s">
        <v>37</v>
      </c>
      <c r="G27" s="4">
        <v>263969021</v>
      </c>
      <c r="H27" s="4">
        <v>478156447</v>
      </c>
      <c r="I27" s="4">
        <v>473831903</v>
      </c>
      <c r="J27" s="15"/>
      <c r="K27" s="15"/>
      <c r="L27" s="13">
        <f t="shared" si="19"/>
        <v>473831903</v>
      </c>
      <c r="M27" s="31">
        <f>L27</f>
        <v>473831903</v>
      </c>
      <c r="N27" s="31">
        <f t="shared" ref="N27:V27" si="26">M27</f>
        <v>473831903</v>
      </c>
      <c r="O27" s="31">
        <f t="shared" si="26"/>
        <v>473831903</v>
      </c>
      <c r="P27" s="31">
        <f t="shared" si="26"/>
        <v>473831903</v>
      </c>
      <c r="Q27" s="31">
        <f t="shared" si="26"/>
        <v>473831903</v>
      </c>
      <c r="R27" s="31">
        <f t="shared" si="26"/>
        <v>473831903</v>
      </c>
      <c r="S27" s="31">
        <f t="shared" si="26"/>
        <v>473831903</v>
      </c>
      <c r="T27" s="31">
        <f t="shared" si="26"/>
        <v>473831903</v>
      </c>
      <c r="U27" s="31">
        <f t="shared" si="26"/>
        <v>473831903</v>
      </c>
      <c r="V27" s="31">
        <f t="shared" si="26"/>
        <v>473831903</v>
      </c>
    </row>
    <row r="28" spans="3:23" x14ac:dyDescent="0.25">
      <c r="C28" s="18" t="s">
        <v>162</v>
      </c>
      <c r="E28" t="s">
        <v>37</v>
      </c>
      <c r="G28" s="4">
        <v>38442895</v>
      </c>
      <c r="H28" s="4">
        <v>45624897</v>
      </c>
      <c r="I28" s="4">
        <v>44013833</v>
      </c>
      <c r="J28" s="15"/>
      <c r="K28" s="15"/>
      <c r="L28" s="13">
        <f t="shared" si="19"/>
        <v>44013833</v>
      </c>
      <c r="M28" s="31">
        <f t="shared" ref="M28:V28" si="27">L28+(-M131)-M111</f>
        <v>44013832.999999993</v>
      </c>
      <c r="N28" s="31">
        <f t="shared" si="27"/>
        <v>44013833</v>
      </c>
      <c r="O28" s="31">
        <f t="shared" si="27"/>
        <v>44013832.999999993</v>
      </c>
      <c r="P28" s="31">
        <f t="shared" si="27"/>
        <v>44013832.999999993</v>
      </c>
      <c r="Q28" s="31">
        <f t="shared" si="27"/>
        <v>44013832.999999985</v>
      </c>
      <c r="R28" s="31">
        <f t="shared" si="27"/>
        <v>44013832.999999985</v>
      </c>
      <c r="S28" s="31">
        <f t="shared" si="27"/>
        <v>44013832.999999985</v>
      </c>
      <c r="T28" s="31">
        <f t="shared" si="27"/>
        <v>44013832.999999985</v>
      </c>
      <c r="U28" s="31">
        <f t="shared" si="27"/>
        <v>44013832.999999985</v>
      </c>
      <c r="V28" s="31">
        <f t="shared" si="27"/>
        <v>44013832.999999985</v>
      </c>
    </row>
    <row r="29" spans="3:23" x14ac:dyDescent="0.25">
      <c r="C29" s="1" t="s">
        <v>163</v>
      </c>
      <c r="D29" s="2"/>
      <c r="E29" s="2" t="s">
        <v>37</v>
      </c>
      <c r="F29" s="2"/>
      <c r="G29" s="53">
        <f>SUM(G20:G28)</f>
        <v>6209909619</v>
      </c>
      <c r="H29" s="53">
        <f>SUM(H20:H28)</f>
        <v>7610555499</v>
      </c>
      <c r="I29" s="53">
        <f>SUM(I20:I28)</f>
        <v>9738036460</v>
      </c>
      <c r="J29" s="60"/>
      <c r="K29" s="60"/>
      <c r="L29" s="61">
        <f t="shared" ref="L29:V29" si="28">SUM(L20:L28)</f>
        <v>9738036460</v>
      </c>
      <c r="M29" s="53">
        <f t="shared" si="28"/>
        <v>10767657653.008396</v>
      </c>
      <c r="N29" s="53">
        <f t="shared" si="28"/>
        <v>11872136147.687281</v>
      </c>
      <c r="O29" s="53">
        <f t="shared" si="28"/>
        <v>13103004165.254217</v>
      </c>
      <c r="P29" s="53">
        <f t="shared" si="28"/>
        <v>14481283687.174011</v>
      </c>
      <c r="Q29" s="53">
        <f t="shared" si="28"/>
        <v>16031767707.066031</v>
      </c>
      <c r="R29" s="53">
        <f t="shared" si="28"/>
        <v>17783720586.279968</v>
      </c>
      <c r="S29" s="53">
        <f t="shared" si="28"/>
        <v>19771710446.721676</v>
      </c>
      <c r="T29" s="53">
        <f t="shared" si="28"/>
        <v>22036598654.499805</v>
      </c>
      <c r="U29" s="53">
        <f t="shared" si="28"/>
        <v>24626716215.228359</v>
      </c>
      <c r="V29" s="53">
        <f t="shared" si="28"/>
        <v>27599262577.386982</v>
      </c>
      <c r="W29" s="125"/>
    </row>
    <row r="30" spans="3:23" x14ac:dyDescent="0.25">
      <c r="G30" s="31"/>
      <c r="H30" s="31"/>
      <c r="I30" s="31"/>
      <c r="J30" s="15"/>
      <c r="K30" s="15"/>
      <c r="L30" s="15"/>
      <c r="M30" s="31"/>
      <c r="N30" s="31"/>
      <c r="O30" s="31"/>
      <c r="P30" s="31"/>
      <c r="Q30" s="31"/>
      <c r="R30" s="31"/>
      <c r="S30" s="31"/>
      <c r="T30" s="31"/>
      <c r="U30" s="31"/>
      <c r="V30" s="31"/>
    </row>
    <row r="31" spans="3:23" x14ac:dyDescent="0.25">
      <c r="C31" s="54" t="s">
        <v>164</v>
      </c>
      <c r="E31" t="s">
        <v>37</v>
      </c>
      <c r="G31" s="4">
        <v>103108762</v>
      </c>
      <c r="H31" s="4">
        <v>123072487</v>
      </c>
      <c r="I31" s="4">
        <v>185278193</v>
      </c>
      <c r="J31" s="15"/>
      <c r="K31" s="15"/>
      <c r="L31" s="13">
        <f>I31-J31+K31</f>
        <v>185278193</v>
      </c>
      <c r="M31" s="31">
        <f t="shared" ref="M31:V31" si="29">-M16*M87</f>
        <v>245152790.44305906</v>
      </c>
      <c r="N31" s="31">
        <f t="shared" si="29"/>
        <v>276588908.31090224</v>
      </c>
      <c r="O31" s="31">
        <f t="shared" si="29"/>
        <v>314299707.35236865</v>
      </c>
      <c r="P31" s="31">
        <f t="shared" si="29"/>
        <v>359502708.66358674</v>
      </c>
      <c r="Q31" s="31">
        <f t="shared" si="29"/>
        <v>413649222.09532708</v>
      </c>
      <c r="R31" s="31">
        <f t="shared" si="29"/>
        <v>478469060.7729857</v>
      </c>
      <c r="S31" s="31">
        <f t="shared" si="29"/>
        <v>556023794.74197435</v>
      </c>
      <c r="T31" s="31">
        <f t="shared" si="29"/>
        <v>648770173.50059879</v>
      </c>
      <c r="U31" s="31">
        <f t="shared" si="29"/>
        <v>759635658.16585159</v>
      </c>
      <c r="V31" s="31">
        <f t="shared" si="29"/>
        <v>892108374.33609807</v>
      </c>
    </row>
    <row r="32" spans="3:23" x14ac:dyDescent="0.25">
      <c r="C32" s="54" t="s">
        <v>165</v>
      </c>
      <c r="E32" t="s">
        <v>37</v>
      </c>
      <c r="G32" s="4">
        <v>10269294</v>
      </c>
      <c r="H32" s="4">
        <v>5037489</v>
      </c>
      <c r="I32" s="4">
        <v>76395583</v>
      </c>
      <c r="J32" s="15"/>
      <c r="K32" s="15"/>
      <c r="L32" s="13">
        <f t="shared" ref="L32:L33" si="30">I32-J32+K32</f>
        <v>76395583</v>
      </c>
      <c r="M32" s="31">
        <f>L32+M115</f>
        <v>76395583</v>
      </c>
      <c r="N32" s="31">
        <f t="shared" ref="N32:V32" si="31">M32+N115</f>
        <v>76395583</v>
      </c>
      <c r="O32" s="31">
        <f t="shared" si="31"/>
        <v>76395583</v>
      </c>
      <c r="P32" s="31">
        <f t="shared" si="31"/>
        <v>76395583</v>
      </c>
      <c r="Q32" s="31">
        <f t="shared" si="31"/>
        <v>76395583</v>
      </c>
      <c r="R32" s="31">
        <f t="shared" si="31"/>
        <v>76395583</v>
      </c>
      <c r="S32" s="31">
        <f t="shared" si="31"/>
        <v>76395583</v>
      </c>
      <c r="T32" s="31">
        <f t="shared" si="31"/>
        <v>76395583</v>
      </c>
      <c r="U32" s="31">
        <f t="shared" si="31"/>
        <v>76395583</v>
      </c>
      <c r="V32" s="31">
        <f t="shared" si="31"/>
        <v>76395583</v>
      </c>
    </row>
    <row r="33" spans="2:59" x14ac:dyDescent="0.25">
      <c r="C33" s="54" t="s">
        <v>166</v>
      </c>
      <c r="E33" t="s">
        <v>37</v>
      </c>
      <c r="G33" s="4">
        <v>4331518839</v>
      </c>
      <c r="H33" s="4">
        <v>4824517743</v>
      </c>
      <c r="I33" s="4">
        <v>5179528400</v>
      </c>
      <c r="J33" s="15"/>
      <c r="K33" s="15"/>
      <c r="L33" s="13">
        <f t="shared" si="30"/>
        <v>5179528400</v>
      </c>
      <c r="M33" s="31">
        <f t="shared" ref="M33:V33" si="32">L33*(1+M17)</f>
        <v>5560662407.2076836</v>
      </c>
      <c r="N33" s="31">
        <f t="shared" si="32"/>
        <v>5969842043.3282595</v>
      </c>
      <c r="O33" s="31">
        <f t="shared" si="32"/>
        <v>6409131037.3553228</v>
      </c>
      <c r="P33" s="31">
        <f t="shared" si="32"/>
        <v>6880744977.1469021</v>
      </c>
      <c r="Q33" s="31">
        <f t="shared" si="32"/>
        <v>7387062483.9133749</v>
      </c>
      <c r="R33" s="31">
        <f t="shared" si="32"/>
        <v>7930637208.976655</v>
      </c>
      <c r="S33" s="31">
        <f t="shared" si="32"/>
        <v>8514210713.30721</v>
      </c>
      <c r="T33" s="31">
        <f t="shared" si="32"/>
        <v>9140726294.7978668</v>
      </c>
      <c r="U33" s="31">
        <f t="shared" si="32"/>
        <v>9813343833.0133057</v>
      </c>
      <c r="V33" s="31">
        <f t="shared" si="32"/>
        <v>10535455726.2859</v>
      </c>
    </row>
    <row r="34" spans="2:59" x14ac:dyDescent="0.25">
      <c r="C34" s="54" t="s">
        <v>167</v>
      </c>
      <c r="E34" t="s">
        <v>37</v>
      </c>
      <c r="G34" s="4">
        <v>0</v>
      </c>
      <c r="H34" s="4">
        <v>493150844</v>
      </c>
      <c r="I34" s="4">
        <v>428588860</v>
      </c>
      <c r="J34" s="15"/>
      <c r="K34" s="15"/>
      <c r="L34" s="13">
        <f>I34-J34+K34</f>
        <v>428588860</v>
      </c>
      <c r="M34" s="31">
        <f>L34</f>
        <v>428588860</v>
      </c>
      <c r="N34" s="31">
        <f t="shared" ref="N34:V34" si="33">M34</f>
        <v>428588860</v>
      </c>
      <c r="O34" s="31">
        <f t="shared" si="33"/>
        <v>428588860</v>
      </c>
      <c r="P34" s="31">
        <f t="shared" si="33"/>
        <v>428588860</v>
      </c>
      <c r="Q34" s="31">
        <f t="shared" si="33"/>
        <v>428588860</v>
      </c>
      <c r="R34" s="31">
        <f t="shared" si="33"/>
        <v>428588860</v>
      </c>
      <c r="S34" s="31">
        <f t="shared" si="33"/>
        <v>428588860</v>
      </c>
      <c r="T34" s="31">
        <f t="shared" si="33"/>
        <v>428588860</v>
      </c>
      <c r="U34" s="31">
        <f t="shared" si="33"/>
        <v>428588860</v>
      </c>
      <c r="V34" s="31">
        <f t="shared" si="33"/>
        <v>428588860</v>
      </c>
    </row>
    <row r="35" spans="2:59" x14ac:dyDescent="0.25">
      <c r="C35" s="54" t="s">
        <v>105</v>
      </c>
      <c r="G35" s="4"/>
      <c r="H35" s="4"/>
      <c r="I35" s="4"/>
      <c r="J35" s="15"/>
      <c r="K35" s="15"/>
      <c r="L35" s="13">
        <v>0</v>
      </c>
      <c r="M35" s="31">
        <f>L35+M114</f>
        <v>194226813.22293225</v>
      </c>
      <c r="N35" s="31">
        <f t="shared" ref="N35:V35" si="34">M35+N114</f>
        <v>413359469.78763068</v>
      </c>
      <c r="O35" s="31">
        <f t="shared" si="34"/>
        <v>662369201.41509771</v>
      </c>
      <c r="P35" s="31">
        <f t="shared" si="34"/>
        <v>947191843.33790612</v>
      </c>
      <c r="Q35" s="31">
        <f t="shared" si="34"/>
        <v>1274913057.746767</v>
      </c>
      <c r="R35" s="31">
        <f t="shared" si="34"/>
        <v>1653988983.1390643</v>
      </c>
      <c r="S35" s="31">
        <f t="shared" si="34"/>
        <v>2094509074.8487244</v>
      </c>
      <c r="T35" s="31">
        <f t="shared" si="34"/>
        <v>2608509193.2458177</v>
      </c>
      <c r="U35" s="31">
        <f t="shared" si="34"/>
        <v>3210344533.6855879</v>
      </c>
      <c r="V35" s="31">
        <f t="shared" si="34"/>
        <v>3917133823.2696128</v>
      </c>
    </row>
    <row r="36" spans="2:59" x14ac:dyDescent="0.25">
      <c r="C36" s="55" t="s">
        <v>168</v>
      </c>
      <c r="D36" s="2"/>
      <c r="E36" s="2" t="s">
        <v>37</v>
      </c>
      <c r="F36" s="2"/>
      <c r="G36" s="53">
        <f>SUM(G31:G34)</f>
        <v>4444896895</v>
      </c>
      <c r="H36" s="53">
        <f>SUM(H31:H34)</f>
        <v>5445778563</v>
      </c>
      <c r="I36" s="53">
        <f>SUM(I31:I34)</f>
        <v>5869791036</v>
      </c>
      <c r="J36" s="60"/>
      <c r="K36" s="60"/>
      <c r="L36" s="61">
        <f t="shared" ref="L36" si="35">SUM(L31:L34)</f>
        <v>5869791036</v>
      </c>
      <c r="M36" s="53">
        <f>SUM(M31:M35)</f>
        <v>6505026453.8736744</v>
      </c>
      <c r="N36" s="53">
        <f>SUM(N31:N35)</f>
        <v>7164774864.4267931</v>
      </c>
      <c r="O36" s="53">
        <f t="shared" ref="O36:V36" si="36">SUM(O31:O35)</f>
        <v>7890784389.1227894</v>
      </c>
      <c r="P36" s="53">
        <f t="shared" si="36"/>
        <v>8692423972.1483955</v>
      </c>
      <c r="Q36" s="53">
        <f t="shared" si="36"/>
        <v>9580609206.7554703</v>
      </c>
      <c r="R36" s="53">
        <f t="shared" si="36"/>
        <v>10568079695.888706</v>
      </c>
      <c r="S36" s="53">
        <f t="shared" si="36"/>
        <v>11669728025.897909</v>
      </c>
      <c r="T36" s="53">
        <f t="shared" si="36"/>
        <v>12902990104.544283</v>
      </c>
      <c r="U36" s="53">
        <f t="shared" si="36"/>
        <v>14288308467.864746</v>
      </c>
      <c r="V36" s="53">
        <f t="shared" si="36"/>
        <v>15849682366.891611</v>
      </c>
    </row>
    <row r="37" spans="2:59" x14ac:dyDescent="0.25">
      <c r="C37" s="54"/>
      <c r="D37" s="56"/>
      <c r="E37" s="56"/>
      <c r="F37" s="56"/>
      <c r="G37" s="31"/>
      <c r="H37" s="31"/>
      <c r="I37" s="31"/>
      <c r="J37" s="15"/>
      <c r="K37" s="15"/>
      <c r="L37" s="15"/>
      <c r="M37" s="31"/>
      <c r="N37" s="31"/>
      <c r="O37" s="31"/>
      <c r="P37" s="31"/>
      <c r="Q37" s="31"/>
      <c r="R37" s="31"/>
      <c r="S37" s="31"/>
      <c r="T37" s="31"/>
      <c r="U37" s="31"/>
      <c r="V37" s="31"/>
    </row>
    <row r="38" spans="2:59" x14ac:dyDescent="0.25">
      <c r="C38" s="54" t="s">
        <v>169</v>
      </c>
      <c r="D38" s="56"/>
      <c r="E38" s="56" t="s">
        <v>37</v>
      </c>
      <c r="F38" s="56"/>
      <c r="G38" s="4">
        <v>1765012724</v>
      </c>
      <c r="H38" s="4">
        <v>2164776961</v>
      </c>
      <c r="I38" s="4">
        <v>3868245421</v>
      </c>
      <c r="J38" s="15"/>
      <c r="K38" s="66">
        <f>I42</f>
        <v>3</v>
      </c>
      <c r="L38" s="13">
        <f>I38-J38+K38</f>
        <v>3868245424</v>
      </c>
      <c r="M38" s="31">
        <f>L38+M107+M142+M143</f>
        <v>4262631199.1347227</v>
      </c>
      <c r="N38" s="31">
        <f t="shared" ref="N38:V38" si="37">M38+N107+N142+N143</f>
        <v>4707361283.2604876</v>
      </c>
      <c r="O38" s="31">
        <f t="shared" si="37"/>
        <v>5212219776.1314297</v>
      </c>
      <c r="P38" s="31">
        <f t="shared" si="37"/>
        <v>5788859715.0256166</v>
      </c>
      <c r="Q38" s="31">
        <f t="shared" si="37"/>
        <v>6451158500.3105659</v>
      </c>
      <c r="R38" s="31">
        <f t="shared" si="37"/>
        <v>7215640890.391264</v>
      </c>
      <c r="S38" s="31">
        <f t="shared" si="37"/>
        <v>8101982420.8237705</v>
      </c>
      <c r="T38" s="31">
        <f t="shared" si="37"/>
        <v>9133608549.9555264</v>
      </c>
      <c r="U38" s="31">
        <f t="shared" si="37"/>
        <v>10338407747.363613</v>
      </c>
      <c r="V38" s="31">
        <f t="shared" si="37"/>
        <v>11749580210.495373</v>
      </c>
    </row>
    <row r="39" spans="2:59" x14ac:dyDescent="0.25">
      <c r="C39" s="54"/>
      <c r="D39" s="56"/>
      <c r="E39" s="56"/>
      <c r="F39" s="56"/>
      <c r="G39" s="31"/>
      <c r="H39" s="31"/>
      <c r="I39" s="31"/>
      <c r="J39" s="15"/>
      <c r="K39" s="15"/>
      <c r="L39" s="15"/>
      <c r="M39" s="31"/>
      <c r="N39" s="31"/>
      <c r="O39" s="31"/>
      <c r="P39" s="31"/>
      <c r="Q39" s="31"/>
      <c r="R39" s="31"/>
      <c r="S39" s="31"/>
      <c r="T39" s="31"/>
      <c r="U39" s="31"/>
      <c r="V39" s="31"/>
    </row>
    <row r="40" spans="2:59" x14ac:dyDescent="0.25">
      <c r="C40" s="54" t="s">
        <v>170</v>
      </c>
      <c r="D40" s="56"/>
      <c r="E40" s="56" t="s">
        <v>37</v>
      </c>
      <c r="F40" s="56"/>
      <c r="G40" s="19">
        <f>G36+G38</f>
        <v>6209909619</v>
      </c>
      <c r="H40" s="19">
        <f>H36+H38</f>
        <v>7610555524</v>
      </c>
      <c r="I40" s="19">
        <f>I36+I38</f>
        <v>9738036457</v>
      </c>
      <c r="J40" s="15"/>
      <c r="K40" s="15"/>
      <c r="L40" s="13">
        <f>L38+L36</f>
        <v>9738036460</v>
      </c>
      <c r="M40" s="19">
        <f>M36+M38</f>
        <v>10767657653.008396</v>
      </c>
      <c r="N40" s="19">
        <f>N36+N38</f>
        <v>11872136147.687281</v>
      </c>
      <c r="O40" s="19">
        <f t="shared" ref="O40:V40" si="38">O36+O38</f>
        <v>13103004165.254219</v>
      </c>
      <c r="P40" s="19">
        <f t="shared" si="38"/>
        <v>14481283687.174011</v>
      </c>
      <c r="Q40" s="19">
        <f t="shared" si="38"/>
        <v>16031767707.066036</v>
      </c>
      <c r="R40" s="19">
        <f t="shared" si="38"/>
        <v>17783720586.279968</v>
      </c>
      <c r="S40" s="19">
        <f t="shared" si="38"/>
        <v>19771710446.72168</v>
      </c>
      <c r="T40" s="19">
        <f t="shared" si="38"/>
        <v>22036598654.499809</v>
      </c>
      <c r="U40" s="19">
        <f t="shared" si="38"/>
        <v>24626716215.228359</v>
      </c>
      <c r="V40" s="19">
        <f t="shared" si="38"/>
        <v>27599262577.386986</v>
      </c>
    </row>
    <row r="41" spans="2:59" x14ac:dyDescent="0.25">
      <c r="C41" s="54"/>
      <c r="D41" s="56"/>
      <c r="E41" s="56"/>
      <c r="F41" s="56"/>
      <c r="G41" s="31"/>
      <c r="H41" s="31"/>
      <c r="I41" s="31"/>
      <c r="J41" s="15"/>
      <c r="K41" s="15"/>
      <c r="L41" s="15"/>
      <c r="M41" s="31"/>
      <c r="N41" s="31"/>
      <c r="O41" s="31"/>
      <c r="P41" s="31"/>
      <c r="Q41" s="31"/>
      <c r="R41" s="31"/>
      <c r="S41" s="31"/>
      <c r="T41" s="31"/>
      <c r="U41" s="31"/>
      <c r="V41" s="31"/>
    </row>
    <row r="42" spans="2:59" x14ac:dyDescent="0.25">
      <c r="C42" s="54" t="s">
        <v>136</v>
      </c>
      <c r="D42" s="56"/>
      <c r="E42" s="56"/>
      <c r="F42" s="56"/>
      <c r="G42" s="19">
        <f>G29-G40</f>
        <v>0</v>
      </c>
      <c r="H42" s="19">
        <f>H29-H40</f>
        <v>-25</v>
      </c>
      <c r="I42" s="19">
        <f>I29-I40</f>
        <v>3</v>
      </c>
      <c r="J42" s="15"/>
      <c r="K42" s="15"/>
      <c r="L42" s="16">
        <f>L29-L40</f>
        <v>0</v>
      </c>
      <c r="M42" s="19">
        <f>M29-M40</f>
        <v>0</v>
      </c>
      <c r="N42" s="19">
        <f>N29-N40</f>
        <v>0</v>
      </c>
      <c r="O42" s="19">
        <f t="shared" ref="O42:V42" si="39">O29-O40</f>
        <v>0</v>
      </c>
      <c r="P42" s="19">
        <f t="shared" si="39"/>
        <v>0</v>
      </c>
      <c r="Q42" s="19">
        <f t="shared" si="39"/>
        <v>0</v>
      </c>
      <c r="R42" s="19">
        <f t="shared" si="39"/>
        <v>0</v>
      </c>
      <c r="S42" s="19">
        <f t="shared" si="39"/>
        <v>0</v>
      </c>
      <c r="T42" s="19">
        <f t="shared" si="39"/>
        <v>0</v>
      </c>
      <c r="U42" s="19">
        <f t="shared" si="39"/>
        <v>0</v>
      </c>
      <c r="V42" s="19">
        <f t="shared" si="39"/>
        <v>0</v>
      </c>
    </row>
    <row r="43" spans="2:59" x14ac:dyDescent="0.25">
      <c r="J43" s="15"/>
      <c r="K43" s="15"/>
      <c r="L43" s="15"/>
    </row>
    <row r="44" spans="2:59" x14ac:dyDescent="0.25">
      <c r="B44" s="42"/>
      <c r="C44" s="57" t="s">
        <v>174</v>
      </c>
      <c r="D44" s="57"/>
      <c r="E44" s="57"/>
      <c r="F44" s="57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</row>
    <row r="45" spans="2:59" x14ac:dyDescent="0.25">
      <c r="J45" s="13"/>
      <c r="K45" s="13"/>
      <c r="L45" s="13"/>
    </row>
    <row r="46" spans="2:59" x14ac:dyDescent="0.25">
      <c r="C46" t="s">
        <v>186</v>
      </c>
      <c r="E46" t="s">
        <v>286</v>
      </c>
      <c r="G46" s="39"/>
      <c r="H46" s="39">
        <f>H65/AVERAGE(G21:H21)</f>
        <v>0.16953945216781702</v>
      </c>
      <c r="I46" s="39">
        <f>I65/AVERAGE(H21:I21)</f>
        <v>0.17132639396417226</v>
      </c>
      <c r="J46" s="13"/>
      <c r="K46" s="13"/>
      <c r="L46" s="58">
        <f>I46</f>
        <v>0.17132639396417226</v>
      </c>
      <c r="M46" s="59">
        <f>AVERAGE(H46:I46)</f>
        <v>0.17043292306599464</v>
      </c>
      <c r="N46" s="40">
        <f t="shared" ref="N46:N50" si="40">M46</f>
        <v>0.17043292306599464</v>
      </c>
      <c r="O46" s="40">
        <f t="shared" ref="O46:V46" si="41">N46</f>
        <v>0.17043292306599464</v>
      </c>
      <c r="P46" s="40">
        <f t="shared" si="41"/>
        <v>0.17043292306599464</v>
      </c>
      <c r="Q46" s="40">
        <f t="shared" si="41"/>
        <v>0.17043292306599464</v>
      </c>
      <c r="R46" s="40">
        <f t="shared" si="41"/>
        <v>0.17043292306599464</v>
      </c>
      <c r="S46" s="40">
        <f t="shared" si="41"/>
        <v>0.17043292306599464</v>
      </c>
      <c r="T46" s="40">
        <f t="shared" si="41"/>
        <v>0.17043292306599464</v>
      </c>
      <c r="U46" s="40">
        <f t="shared" si="41"/>
        <v>0.17043292306599464</v>
      </c>
      <c r="V46" s="40">
        <f t="shared" si="41"/>
        <v>0.17043292306599464</v>
      </c>
    </row>
    <row r="47" spans="2:59" x14ac:dyDescent="0.25">
      <c r="C47" t="s">
        <v>187</v>
      </c>
      <c r="E47" t="s">
        <v>286</v>
      </c>
      <c r="G47" s="39"/>
      <c r="H47" s="39">
        <f>H66/AVERAGE(G24:H24)</f>
        <v>0.37404428488404712</v>
      </c>
      <c r="I47" s="39">
        <f>I66/AVERAGE(H24:I24)</f>
        <v>0.18490686046901544</v>
      </c>
      <c r="J47" s="13"/>
      <c r="K47" s="13"/>
      <c r="L47" s="58">
        <f>I47</f>
        <v>0.18490686046901544</v>
      </c>
      <c r="M47" s="59">
        <f>L47</f>
        <v>0.18490686046901544</v>
      </c>
      <c r="N47" s="40">
        <f t="shared" si="40"/>
        <v>0.18490686046901544</v>
      </c>
      <c r="O47" s="40">
        <f t="shared" ref="O47:V47" si="42">N47</f>
        <v>0.18490686046901544</v>
      </c>
      <c r="P47" s="40">
        <f t="shared" si="42"/>
        <v>0.18490686046901544</v>
      </c>
      <c r="Q47" s="40">
        <f t="shared" si="42"/>
        <v>0.18490686046901544</v>
      </c>
      <c r="R47" s="40">
        <f t="shared" si="42"/>
        <v>0.18490686046901544</v>
      </c>
      <c r="S47" s="40">
        <f t="shared" si="42"/>
        <v>0.18490686046901544</v>
      </c>
      <c r="T47" s="40">
        <f t="shared" si="42"/>
        <v>0.18490686046901544</v>
      </c>
      <c r="U47" s="40">
        <f t="shared" si="42"/>
        <v>0.18490686046901544</v>
      </c>
      <c r="V47" s="40">
        <f t="shared" si="42"/>
        <v>0.18490686046901544</v>
      </c>
    </row>
    <row r="48" spans="2:59" x14ac:dyDescent="0.25">
      <c r="C48" t="s">
        <v>188</v>
      </c>
      <c r="E48" t="s">
        <v>286</v>
      </c>
      <c r="G48" s="39"/>
      <c r="H48" s="39">
        <f>-H69/AVERAGE(G33:H33)</f>
        <v>3.2792169986548443E-2</v>
      </c>
      <c r="I48" s="39">
        <f>-I69/AVERAGE(H33:I33)</f>
        <v>4.1597012453923866E-2</v>
      </c>
      <c r="J48" s="13"/>
      <c r="K48" s="13"/>
      <c r="L48" s="58">
        <f>I48</f>
        <v>4.1597012453923866E-2</v>
      </c>
      <c r="M48" s="59">
        <f>L48</f>
        <v>4.1597012453923866E-2</v>
      </c>
      <c r="N48" s="40">
        <f t="shared" si="40"/>
        <v>4.1597012453923866E-2</v>
      </c>
      <c r="O48" s="40">
        <f t="shared" ref="O48:V48" si="43">N48</f>
        <v>4.1597012453923866E-2</v>
      </c>
      <c r="P48" s="40">
        <f t="shared" si="43"/>
        <v>4.1597012453923866E-2</v>
      </c>
      <c r="Q48" s="40">
        <f t="shared" si="43"/>
        <v>4.1597012453923866E-2</v>
      </c>
      <c r="R48" s="40">
        <f t="shared" si="43"/>
        <v>4.1597012453923866E-2</v>
      </c>
      <c r="S48" s="40">
        <f t="shared" si="43"/>
        <v>4.1597012453923866E-2</v>
      </c>
      <c r="T48" s="40">
        <f t="shared" si="43"/>
        <v>4.1597012453923866E-2</v>
      </c>
      <c r="U48" s="40">
        <f t="shared" si="43"/>
        <v>4.1597012453923866E-2</v>
      </c>
      <c r="V48" s="40">
        <f t="shared" si="43"/>
        <v>4.1597012453923866E-2</v>
      </c>
    </row>
    <row r="49" spans="3:22" x14ac:dyDescent="0.25">
      <c r="C49" t="s">
        <v>95</v>
      </c>
      <c r="E49" t="s">
        <v>285</v>
      </c>
      <c r="G49" s="39"/>
      <c r="H49" s="39">
        <f>H72/AVERAGE(G21:H21)</f>
        <v>3.9969730496385733E-2</v>
      </c>
      <c r="I49" s="39">
        <f>I72/AVERAGE(H21:I21)</f>
        <v>3.5140153192652783E-2</v>
      </c>
      <c r="J49" s="13"/>
      <c r="K49" s="13"/>
      <c r="L49" s="58">
        <f>I49</f>
        <v>3.5140153192652783E-2</v>
      </c>
      <c r="M49" s="59">
        <f>L49</f>
        <v>3.5140153192652783E-2</v>
      </c>
      <c r="N49" s="40">
        <f t="shared" si="40"/>
        <v>3.5140153192652783E-2</v>
      </c>
      <c r="O49" s="40">
        <f t="shared" ref="O49:V49" si="44">N49</f>
        <v>3.5140153192652783E-2</v>
      </c>
      <c r="P49" s="40">
        <f t="shared" si="44"/>
        <v>3.5140153192652783E-2</v>
      </c>
      <c r="Q49" s="40">
        <f t="shared" si="44"/>
        <v>3.5140153192652783E-2</v>
      </c>
      <c r="R49" s="40">
        <f t="shared" si="44"/>
        <v>3.5140153192652783E-2</v>
      </c>
      <c r="S49" s="40">
        <f t="shared" si="44"/>
        <v>3.5140153192652783E-2</v>
      </c>
      <c r="T49" s="40">
        <f t="shared" si="44"/>
        <v>3.5140153192652783E-2</v>
      </c>
      <c r="U49" s="40">
        <f t="shared" si="44"/>
        <v>3.5140153192652783E-2</v>
      </c>
      <c r="V49" s="40">
        <f t="shared" si="44"/>
        <v>3.5140153192652783E-2</v>
      </c>
    </row>
    <row r="50" spans="3:22" x14ac:dyDescent="0.25">
      <c r="C50" t="s">
        <v>189</v>
      </c>
      <c r="E50" t="s">
        <v>190</v>
      </c>
      <c r="G50" s="39"/>
      <c r="H50" s="39">
        <f>H74/AVERAGE(G24:H24)</f>
        <v>0.30104603792909113</v>
      </c>
      <c r="I50" s="39">
        <f>I74/AVERAGE(H24:I24)</f>
        <v>0.20830441762288979</v>
      </c>
      <c r="J50" s="13"/>
      <c r="K50" s="13"/>
      <c r="L50" s="58">
        <f>I50</f>
        <v>0.20830441762288979</v>
      </c>
      <c r="M50" s="59">
        <f>L50</f>
        <v>0.20830441762288979</v>
      </c>
      <c r="N50" s="40">
        <f t="shared" si="40"/>
        <v>0.20830441762288979</v>
      </c>
      <c r="O50" s="40">
        <f t="shared" ref="O50:V50" si="45">N50</f>
        <v>0.20830441762288979</v>
      </c>
      <c r="P50" s="40">
        <f t="shared" si="45"/>
        <v>0.20830441762288979</v>
      </c>
      <c r="Q50" s="40">
        <f t="shared" si="45"/>
        <v>0.20830441762288979</v>
      </c>
      <c r="R50" s="40">
        <f t="shared" si="45"/>
        <v>0.20830441762288979</v>
      </c>
      <c r="S50" s="40">
        <f t="shared" si="45"/>
        <v>0.20830441762288979</v>
      </c>
      <c r="T50" s="40">
        <f t="shared" si="45"/>
        <v>0.20830441762288979</v>
      </c>
      <c r="U50" s="40">
        <f t="shared" si="45"/>
        <v>0.20830441762288979</v>
      </c>
      <c r="V50" s="40">
        <f t="shared" si="45"/>
        <v>0.20830441762288979</v>
      </c>
    </row>
    <row r="51" spans="3:22" x14ac:dyDescent="0.25">
      <c r="G51" s="39"/>
      <c r="H51" s="39"/>
      <c r="I51" s="39"/>
      <c r="J51" s="13"/>
      <c r="K51" s="13"/>
      <c r="L51" s="58"/>
      <c r="M51" s="59"/>
      <c r="N51" s="40"/>
      <c r="O51" s="40"/>
      <c r="P51" s="40"/>
      <c r="Q51" s="40"/>
      <c r="R51" s="40"/>
      <c r="S51" s="40"/>
      <c r="T51" s="40"/>
      <c r="U51" s="40"/>
      <c r="V51" s="40"/>
    </row>
    <row r="52" spans="3:22" x14ac:dyDescent="0.25">
      <c r="C52" t="str">
        <f>D80</f>
        <v>Governance Expenses</v>
      </c>
      <c r="E52" t="s">
        <v>191</v>
      </c>
      <c r="G52" s="39">
        <f t="shared" ref="G52:H52" si="46">-G80/G$77</f>
        <v>6.2592447073120117E-2</v>
      </c>
      <c r="H52" s="39">
        <f t="shared" si="46"/>
        <v>6.0656200960012258E-2</v>
      </c>
      <c r="I52" s="39">
        <f>-I80/I$77</f>
        <v>3.963757014150001E-2</v>
      </c>
      <c r="J52" s="13"/>
      <c r="K52" s="13"/>
      <c r="L52" s="58">
        <f t="shared" ref="L52:L59" si="47">I52</f>
        <v>3.963757014150001E-2</v>
      </c>
      <c r="M52" s="59">
        <f>AVERAGE(G52:I52)</f>
        <v>5.4295406058210795E-2</v>
      </c>
      <c r="N52" s="40">
        <f>M52</f>
        <v>5.4295406058210795E-2</v>
      </c>
      <c r="O52" s="40">
        <f t="shared" ref="O52:V52" si="48">N52</f>
        <v>5.4295406058210795E-2</v>
      </c>
      <c r="P52" s="40">
        <f t="shared" si="48"/>
        <v>5.4295406058210795E-2</v>
      </c>
      <c r="Q52" s="40">
        <f t="shared" si="48"/>
        <v>5.4295406058210795E-2</v>
      </c>
      <c r="R52" s="40">
        <f t="shared" si="48"/>
        <v>5.4295406058210795E-2</v>
      </c>
      <c r="S52" s="40">
        <f t="shared" si="48"/>
        <v>5.4295406058210795E-2</v>
      </c>
      <c r="T52" s="40">
        <f t="shared" si="48"/>
        <v>5.4295406058210795E-2</v>
      </c>
      <c r="U52" s="40">
        <f t="shared" si="48"/>
        <v>5.4295406058210795E-2</v>
      </c>
      <c r="V52" s="40">
        <f t="shared" si="48"/>
        <v>5.4295406058210795E-2</v>
      </c>
    </row>
    <row r="53" spans="3:22" x14ac:dyDescent="0.25">
      <c r="C53" t="str">
        <f t="shared" ref="C53:C60" si="49">D81</f>
        <v>Administration Expenses</v>
      </c>
      <c r="E53" t="s">
        <v>191</v>
      </c>
      <c r="G53" s="39">
        <f t="shared" ref="G53:H53" si="50">-G81/G$77</f>
        <v>2.6895397090279067E-2</v>
      </c>
      <c r="H53" s="39">
        <f t="shared" si="50"/>
        <v>0.17043447554118438</v>
      </c>
      <c r="I53" s="39">
        <f t="shared" ref="I53" si="51">-I81/I$77</f>
        <v>0.133920663935687</v>
      </c>
      <c r="J53" s="13"/>
      <c r="K53" s="13"/>
      <c r="L53" s="58">
        <f t="shared" si="47"/>
        <v>0.133920663935687</v>
      </c>
      <c r="M53" s="59">
        <f>AVERAGE(H53:I53)</f>
        <v>0.15217756973843569</v>
      </c>
      <c r="N53" s="40">
        <f t="shared" ref="N53:V58" si="52">M53</f>
        <v>0.15217756973843569</v>
      </c>
      <c r="O53" s="40">
        <f t="shared" si="52"/>
        <v>0.15217756973843569</v>
      </c>
      <c r="P53" s="40">
        <f t="shared" si="52"/>
        <v>0.15217756973843569</v>
      </c>
      <c r="Q53" s="40">
        <f t="shared" si="52"/>
        <v>0.15217756973843569</v>
      </c>
      <c r="R53" s="40">
        <f t="shared" si="52"/>
        <v>0.15217756973843569</v>
      </c>
      <c r="S53" s="40">
        <f t="shared" si="52"/>
        <v>0.15217756973843569</v>
      </c>
      <c r="T53" s="40">
        <f t="shared" si="52"/>
        <v>0.15217756973843569</v>
      </c>
      <c r="U53" s="40">
        <f t="shared" si="52"/>
        <v>0.15217756973843569</v>
      </c>
      <c r="V53" s="40">
        <f t="shared" si="52"/>
        <v>0.15217756973843569</v>
      </c>
    </row>
    <row r="54" spans="3:22" x14ac:dyDescent="0.25">
      <c r="C54" t="str">
        <f t="shared" si="49"/>
        <v>Financial Expenses</v>
      </c>
      <c r="E54" t="s">
        <v>191</v>
      </c>
      <c r="G54" s="39">
        <f t="shared" ref="G54:H54" si="53">-G82/G$77</f>
        <v>0.11852632073611605</v>
      </c>
      <c r="H54" s="39">
        <f t="shared" si="53"/>
        <v>2.9607165335641564E-2</v>
      </c>
      <c r="I54" s="39">
        <f t="shared" ref="I54" si="54">-I82/I$77</f>
        <v>3.963049378323634E-2</v>
      </c>
      <c r="J54" s="13"/>
      <c r="K54" s="13"/>
      <c r="L54" s="58">
        <f t="shared" si="47"/>
        <v>3.963049378323634E-2</v>
      </c>
      <c r="M54" s="59">
        <f>AVERAGE(H54:I54)</f>
        <v>3.461882955943895E-2</v>
      </c>
      <c r="N54" s="40">
        <f t="shared" si="52"/>
        <v>3.461882955943895E-2</v>
      </c>
      <c r="O54" s="40">
        <f t="shared" si="52"/>
        <v>3.461882955943895E-2</v>
      </c>
      <c r="P54" s="40">
        <f t="shared" si="52"/>
        <v>3.461882955943895E-2</v>
      </c>
      <c r="Q54" s="40">
        <f t="shared" si="52"/>
        <v>3.461882955943895E-2</v>
      </c>
      <c r="R54" s="40">
        <f t="shared" si="52"/>
        <v>3.461882955943895E-2</v>
      </c>
      <c r="S54" s="40">
        <f t="shared" si="52"/>
        <v>3.461882955943895E-2</v>
      </c>
      <c r="T54" s="40">
        <f t="shared" si="52"/>
        <v>3.461882955943895E-2</v>
      </c>
      <c r="U54" s="40">
        <f t="shared" si="52"/>
        <v>3.461882955943895E-2</v>
      </c>
      <c r="V54" s="40">
        <f t="shared" si="52"/>
        <v>3.461882955943895E-2</v>
      </c>
    </row>
    <row r="55" spans="3:22" x14ac:dyDescent="0.25">
      <c r="C55" t="str">
        <f t="shared" si="49"/>
        <v>Marketing and Public Relations</v>
      </c>
      <c r="E55" t="s">
        <v>191</v>
      </c>
      <c r="G55" s="39">
        <f t="shared" ref="G55:H55" si="55">-G83/G$77</f>
        <v>2.9509024112778846E-3</v>
      </c>
      <c r="H55" s="39">
        <f t="shared" si="55"/>
        <v>1.9328865965222423E-2</v>
      </c>
      <c r="I55" s="39">
        <f t="shared" ref="I55" si="56">-I83/I$77</f>
        <v>1.9426424057875206E-2</v>
      </c>
      <c r="J55" s="13"/>
      <c r="K55" s="13"/>
      <c r="L55" s="58">
        <f t="shared" si="47"/>
        <v>1.9426424057875206E-2</v>
      </c>
      <c r="M55" s="59">
        <f>AVERAGE(H55:I55)</f>
        <v>1.9377645011548816E-2</v>
      </c>
      <c r="N55" s="40">
        <f t="shared" si="52"/>
        <v>1.9377645011548816E-2</v>
      </c>
      <c r="O55" s="40">
        <f t="shared" si="52"/>
        <v>1.9377645011548816E-2</v>
      </c>
      <c r="P55" s="40">
        <f t="shared" si="52"/>
        <v>1.9377645011548816E-2</v>
      </c>
      <c r="Q55" s="40">
        <f t="shared" si="52"/>
        <v>1.9377645011548816E-2</v>
      </c>
      <c r="R55" s="40">
        <f t="shared" si="52"/>
        <v>1.9377645011548816E-2</v>
      </c>
      <c r="S55" s="40">
        <f t="shared" si="52"/>
        <v>1.9377645011548816E-2</v>
      </c>
      <c r="T55" s="40">
        <f t="shared" si="52"/>
        <v>1.9377645011548816E-2</v>
      </c>
      <c r="U55" s="40">
        <f t="shared" si="52"/>
        <v>1.9377645011548816E-2</v>
      </c>
      <c r="V55" s="40">
        <f t="shared" si="52"/>
        <v>1.9377645011548816E-2</v>
      </c>
    </row>
    <row r="56" spans="3:22" x14ac:dyDescent="0.25">
      <c r="C56" t="str">
        <f t="shared" si="49"/>
        <v>Personnel Expenses</v>
      </c>
      <c r="E56" t="s">
        <v>191</v>
      </c>
      <c r="G56" s="39">
        <f t="shared" ref="G56:H56" si="57">-G84/G$77</f>
        <v>0.22730061990656564</v>
      </c>
      <c r="H56" s="39">
        <f t="shared" si="57"/>
        <v>0.26651376246637126</v>
      </c>
      <c r="I56" s="39">
        <f t="shared" ref="I56" si="58">-I84/I$77</f>
        <v>0.23158306577364934</v>
      </c>
      <c r="J56" s="13"/>
      <c r="K56" s="13"/>
      <c r="L56" s="58">
        <f t="shared" si="47"/>
        <v>0.23158306577364934</v>
      </c>
      <c r="M56" s="59">
        <f>AVERAGE(H56:I56)</f>
        <v>0.2490484141200103</v>
      </c>
      <c r="N56" s="40">
        <f t="shared" si="52"/>
        <v>0.2490484141200103</v>
      </c>
      <c r="O56" s="40">
        <f t="shared" si="52"/>
        <v>0.2490484141200103</v>
      </c>
      <c r="P56" s="40">
        <f t="shared" si="52"/>
        <v>0.2490484141200103</v>
      </c>
      <c r="Q56" s="40">
        <f t="shared" si="52"/>
        <v>0.2490484141200103</v>
      </c>
      <c r="R56" s="40">
        <f t="shared" si="52"/>
        <v>0.2490484141200103</v>
      </c>
      <c r="S56" s="40">
        <f t="shared" si="52"/>
        <v>0.2490484141200103</v>
      </c>
      <c r="T56" s="40">
        <f t="shared" si="52"/>
        <v>0.2490484141200103</v>
      </c>
      <c r="U56" s="40">
        <f t="shared" si="52"/>
        <v>0.2490484141200103</v>
      </c>
      <c r="V56" s="40">
        <f t="shared" si="52"/>
        <v>0.2490484141200103</v>
      </c>
    </row>
    <row r="57" spans="3:22" x14ac:dyDescent="0.25">
      <c r="C57" t="str">
        <f t="shared" si="49"/>
        <v>Allowance of Asset Impairment</v>
      </c>
      <c r="E57" t="s">
        <v>191</v>
      </c>
      <c r="G57" s="39">
        <f t="shared" ref="G57:H57" si="59">-G85/G$77</f>
        <v>4.305094167279349E-3</v>
      </c>
      <c r="H57" s="39">
        <f t="shared" si="59"/>
        <v>2.5014752416985059E-2</v>
      </c>
      <c r="I57" s="39">
        <f t="shared" ref="I57" si="60">-I85/I$77</f>
        <v>3.9591474677680358E-2</v>
      </c>
      <c r="J57" s="13"/>
      <c r="K57" s="13"/>
      <c r="L57" s="58">
        <f t="shared" si="47"/>
        <v>3.9591474677680358E-2</v>
      </c>
      <c r="M57" s="59">
        <f>L57</f>
        <v>3.9591474677680358E-2</v>
      </c>
      <c r="N57" s="40">
        <f t="shared" si="52"/>
        <v>3.9591474677680358E-2</v>
      </c>
      <c r="O57" s="40">
        <f t="shared" si="52"/>
        <v>3.9591474677680358E-2</v>
      </c>
      <c r="P57" s="40">
        <f t="shared" si="52"/>
        <v>3.9591474677680358E-2</v>
      </c>
      <c r="Q57" s="40">
        <f t="shared" si="52"/>
        <v>3.9591474677680358E-2</v>
      </c>
      <c r="R57" s="40">
        <f t="shared" si="52"/>
        <v>3.9591474677680358E-2</v>
      </c>
      <c r="S57" s="40">
        <f t="shared" si="52"/>
        <v>3.9591474677680358E-2</v>
      </c>
      <c r="T57" s="40">
        <f t="shared" si="52"/>
        <v>3.9591474677680358E-2</v>
      </c>
      <c r="U57" s="40">
        <f t="shared" si="52"/>
        <v>3.9591474677680358E-2</v>
      </c>
      <c r="V57" s="40">
        <f t="shared" si="52"/>
        <v>3.9591474677680358E-2</v>
      </c>
    </row>
    <row r="58" spans="3:22" x14ac:dyDescent="0.25">
      <c r="C58" t="str">
        <f t="shared" si="49"/>
        <v>Allowance for loan/debtors Impairment</v>
      </c>
      <c r="E58" t="s">
        <v>191</v>
      </c>
      <c r="G58" s="39">
        <f t="shared" ref="G58:H58" si="61">-G86/G$77</f>
        <v>0.18775192326816764</v>
      </c>
      <c r="H58" s="39">
        <f t="shared" si="61"/>
        <v>0.10906351245723099</v>
      </c>
      <c r="I58" s="39">
        <f t="shared" ref="I58" si="62">-I86/I$77</f>
        <v>4.4979073495779981E-2</v>
      </c>
      <c r="J58" s="13"/>
      <c r="K58" s="13"/>
      <c r="L58" s="58">
        <f t="shared" si="47"/>
        <v>4.4979073495779981E-2</v>
      </c>
      <c r="M58" s="59">
        <f>AVERAGE(G58:I58)</f>
        <v>0.1139315030737262</v>
      </c>
      <c r="N58" s="40">
        <f>M58</f>
        <v>0.1139315030737262</v>
      </c>
      <c r="O58" s="40">
        <f t="shared" si="52"/>
        <v>0.1139315030737262</v>
      </c>
      <c r="P58" s="40">
        <f t="shared" si="52"/>
        <v>0.1139315030737262</v>
      </c>
      <c r="Q58" s="40">
        <f t="shared" si="52"/>
        <v>0.1139315030737262</v>
      </c>
      <c r="R58" s="40">
        <f t="shared" si="52"/>
        <v>0.1139315030737262</v>
      </c>
      <c r="S58" s="40">
        <f t="shared" si="52"/>
        <v>0.1139315030737262</v>
      </c>
      <c r="T58" s="40">
        <f t="shared" si="52"/>
        <v>0.1139315030737262</v>
      </c>
      <c r="U58" s="40">
        <f t="shared" si="52"/>
        <v>0.1139315030737262</v>
      </c>
      <c r="V58" s="40">
        <f t="shared" si="52"/>
        <v>0.1139315030737262</v>
      </c>
    </row>
    <row r="59" spans="3:22" x14ac:dyDescent="0.25">
      <c r="C59" s="18" t="str">
        <f t="shared" si="49"/>
        <v>Total Expenses</v>
      </c>
      <c r="D59" s="18"/>
      <c r="E59" s="18" t="s">
        <v>191</v>
      </c>
      <c r="F59" s="18"/>
      <c r="G59" s="64">
        <f t="shared" ref="G59:H59" si="63">-G87/G$77</f>
        <v>0.63032270465280571</v>
      </c>
      <c r="H59" s="64">
        <f t="shared" si="63"/>
        <v>0.68061873514264792</v>
      </c>
      <c r="I59" s="64">
        <f t="shared" ref="I59" si="64">-I87/I$77</f>
        <v>0.54876876586540824</v>
      </c>
      <c r="J59" s="16"/>
      <c r="K59" s="16"/>
      <c r="L59" s="65">
        <f t="shared" si="47"/>
        <v>0.54876876586540824</v>
      </c>
      <c r="M59" s="64">
        <f>-M87/M$77</f>
        <v>0.66304084223905124</v>
      </c>
      <c r="N59" s="64">
        <f t="shared" ref="N59:V59" si="65">-N87/N$77</f>
        <v>0.66304084223905113</v>
      </c>
      <c r="O59" s="64">
        <f t="shared" si="65"/>
        <v>0.66304084223905102</v>
      </c>
      <c r="P59" s="64">
        <f t="shared" si="65"/>
        <v>0.66304084223905124</v>
      </c>
      <c r="Q59" s="64">
        <f t="shared" si="65"/>
        <v>0.66304084223905102</v>
      </c>
      <c r="R59" s="64">
        <f t="shared" si="65"/>
        <v>0.66304084223905113</v>
      </c>
      <c r="S59" s="64">
        <f t="shared" si="65"/>
        <v>0.66304084223905113</v>
      </c>
      <c r="T59" s="64">
        <f t="shared" si="65"/>
        <v>0.66304084223905102</v>
      </c>
      <c r="U59" s="64">
        <f t="shared" si="65"/>
        <v>0.66304084223905113</v>
      </c>
      <c r="V59" s="64">
        <f t="shared" si="65"/>
        <v>0.66304084223905113</v>
      </c>
    </row>
    <row r="60" spans="3:22" x14ac:dyDescent="0.25">
      <c r="C60">
        <f t="shared" si="49"/>
        <v>0</v>
      </c>
      <c r="G60" s="39"/>
      <c r="H60" s="39"/>
      <c r="I60" s="39"/>
      <c r="J60" s="13"/>
      <c r="K60" s="13"/>
      <c r="L60" s="58"/>
      <c r="M60" s="59"/>
      <c r="N60" s="40"/>
      <c r="O60" s="40"/>
      <c r="P60" s="40"/>
      <c r="Q60" s="40"/>
      <c r="R60" s="40"/>
      <c r="S60" s="40"/>
      <c r="T60" s="40"/>
      <c r="U60" s="40"/>
      <c r="V60" s="40"/>
    </row>
    <row r="61" spans="3:22" x14ac:dyDescent="0.25">
      <c r="C61" t="s">
        <v>192</v>
      </c>
      <c r="E61" t="s">
        <v>193</v>
      </c>
      <c r="G61" s="39">
        <f t="shared" ref="G61:H61" si="66">-G90/G89</f>
        <v>0.36817858978741863</v>
      </c>
      <c r="H61" s="39">
        <f t="shared" si="66"/>
        <v>0.25672967317451983</v>
      </c>
      <c r="I61" s="39">
        <f>-I90/I89</f>
        <v>0.27585843316752023</v>
      </c>
      <c r="J61" s="13"/>
      <c r="K61" s="13"/>
      <c r="L61" s="58">
        <f>I61</f>
        <v>0.27585843316752023</v>
      </c>
      <c r="M61" s="59">
        <f>AVERAGE(H61:I61)</f>
        <v>0.26629405317102006</v>
      </c>
      <c r="N61" s="40">
        <f>M61</f>
        <v>0.26629405317102006</v>
      </c>
      <c r="O61" s="40">
        <f t="shared" ref="O61:V61" si="67">N61</f>
        <v>0.26629405317102006</v>
      </c>
      <c r="P61" s="40">
        <f t="shared" si="67"/>
        <v>0.26629405317102006</v>
      </c>
      <c r="Q61" s="40">
        <f t="shared" si="67"/>
        <v>0.26629405317102006</v>
      </c>
      <c r="R61" s="40">
        <f t="shared" si="67"/>
        <v>0.26629405317102006</v>
      </c>
      <c r="S61" s="40">
        <f t="shared" si="67"/>
        <v>0.26629405317102006</v>
      </c>
      <c r="T61" s="40">
        <f t="shared" si="67"/>
        <v>0.26629405317102006</v>
      </c>
      <c r="U61" s="40">
        <f t="shared" si="67"/>
        <v>0.26629405317102006</v>
      </c>
      <c r="V61" s="40">
        <f t="shared" si="67"/>
        <v>0.26629405317102006</v>
      </c>
    </row>
    <row r="62" spans="3:22" x14ac:dyDescent="0.25">
      <c r="C62" t="s">
        <v>280</v>
      </c>
      <c r="E62" t="s">
        <v>191</v>
      </c>
      <c r="G62" s="39">
        <f>G91/G77</f>
        <v>0.2335700300698372</v>
      </c>
      <c r="H62" s="39">
        <f t="shared" ref="H62:I62" si="68">H91/H77</f>
        <v>0.23738661711245931</v>
      </c>
      <c r="I62" s="39">
        <f t="shared" si="68"/>
        <v>0.32675529288997679</v>
      </c>
      <c r="J62" s="13"/>
      <c r="K62" s="13"/>
      <c r="L62" s="58">
        <f>I62</f>
        <v>0.32675529288997679</v>
      </c>
      <c r="M62" s="39">
        <f t="shared" ref="M62:V62" si="69">M91/M77</f>
        <v>0.24722893788769257</v>
      </c>
      <c r="N62" s="39">
        <f t="shared" si="69"/>
        <v>0.24722893788769265</v>
      </c>
      <c r="O62" s="39">
        <f t="shared" si="69"/>
        <v>0.24722893788769265</v>
      </c>
      <c r="P62" s="39">
        <f t="shared" si="69"/>
        <v>0.24722893788769254</v>
      </c>
      <c r="Q62" s="39">
        <f t="shared" si="69"/>
        <v>0.24722893788769265</v>
      </c>
      <c r="R62" s="39">
        <f t="shared" si="69"/>
        <v>0.2472289378876926</v>
      </c>
      <c r="S62" s="39">
        <f t="shared" si="69"/>
        <v>0.24722893788769262</v>
      </c>
      <c r="T62" s="39">
        <f t="shared" si="69"/>
        <v>0.24722893788769271</v>
      </c>
      <c r="U62" s="39">
        <f t="shared" si="69"/>
        <v>0.24722893788769265</v>
      </c>
      <c r="V62" s="39">
        <f t="shared" si="69"/>
        <v>0.2472289378876926</v>
      </c>
    </row>
    <row r="63" spans="3:22" x14ac:dyDescent="0.25">
      <c r="J63" s="13"/>
      <c r="K63" s="13"/>
      <c r="L63" s="13"/>
      <c r="M63" s="31"/>
    </row>
    <row r="64" spans="3:22" x14ac:dyDescent="0.25">
      <c r="C64" t="s">
        <v>97</v>
      </c>
      <c r="H64" s="20"/>
      <c r="I64" s="20"/>
      <c r="J64" s="15"/>
      <c r="K64" s="15"/>
      <c r="L64" s="15"/>
    </row>
    <row r="65" spans="3:22" x14ac:dyDescent="0.25">
      <c r="D65" t="s">
        <v>90</v>
      </c>
      <c r="E65" t="s">
        <v>37</v>
      </c>
      <c r="G65" s="4">
        <v>625696835</v>
      </c>
      <c r="H65" s="4">
        <v>737071049</v>
      </c>
      <c r="I65" s="4">
        <v>862215114</v>
      </c>
      <c r="J65" s="15"/>
      <c r="K65" s="15"/>
      <c r="L65" s="13">
        <f>I65</f>
        <v>862215114</v>
      </c>
      <c r="M65" s="31">
        <f t="shared" ref="M65:V65" si="70">M46*(AVERAGE(L21:M21))</f>
        <v>1021361240.4252712</v>
      </c>
      <c r="N65" s="31">
        <f t="shared" si="70"/>
        <v>1216224914.3166537</v>
      </c>
      <c r="O65" s="31">
        <f t="shared" si="70"/>
        <v>1448266278.0395367</v>
      </c>
      <c r="P65" s="31">
        <f t="shared" si="70"/>
        <v>1724578396.1636548</v>
      </c>
      <c r="Q65" s="31">
        <f t="shared" si="70"/>
        <v>2053607606.2893806</v>
      </c>
      <c r="R65" s="31">
        <f t="shared" si="70"/>
        <v>2445411707.575047</v>
      </c>
      <c r="S65" s="31">
        <f t="shared" si="70"/>
        <v>2911967408.5889807</v>
      </c>
      <c r="T65" s="31">
        <f t="shared" si="70"/>
        <v>3467536432.5842032</v>
      </c>
      <c r="U65" s="31">
        <f t="shared" si="70"/>
        <v>4129101471.3399649</v>
      </c>
      <c r="V65" s="31">
        <f t="shared" si="70"/>
        <v>4916885313.8525295</v>
      </c>
    </row>
    <row r="66" spans="3:22" x14ac:dyDescent="0.25">
      <c r="D66" t="s">
        <v>91</v>
      </c>
      <c r="E66" t="s">
        <v>37</v>
      </c>
      <c r="G66" s="4">
        <v>87492386</v>
      </c>
      <c r="H66" s="4">
        <v>174403535</v>
      </c>
      <c r="I66" s="4">
        <v>206321981</v>
      </c>
      <c r="J66" s="15"/>
      <c r="K66" s="15"/>
      <c r="L66" s="13">
        <f t="shared" ref="L66:L96" si="71">I66</f>
        <v>206321981</v>
      </c>
      <c r="M66" s="31">
        <f t="shared" ref="M66:V66" si="72">M47*(AVERAGE(L24:M24))</f>
        <v>327387182.95657283</v>
      </c>
      <c r="N66" s="31">
        <f t="shared" si="72"/>
        <v>327387182.95657283</v>
      </c>
      <c r="O66" s="31">
        <f t="shared" si="72"/>
        <v>327387182.95657283</v>
      </c>
      <c r="P66" s="31">
        <f t="shared" si="72"/>
        <v>327387182.95657283</v>
      </c>
      <c r="Q66" s="31">
        <f t="shared" si="72"/>
        <v>327387182.95657283</v>
      </c>
      <c r="R66" s="31">
        <f t="shared" si="72"/>
        <v>327387182.95657283</v>
      </c>
      <c r="S66" s="31">
        <f t="shared" si="72"/>
        <v>327387182.95657283</v>
      </c>
      <c r="T66" s="31">
        <f t="shared" si="72"/>
        <v>327387182.95657283</v>
      </c>
      <c r="U66" s="31">
        <f t="shared" si="72"/>
        <v>327387182.95657283</v>
      </c>
      <c r="V66" s="31">
        <f t="shared" si="72"/>
        <v>327387182.95657283</v>
      </c>
    </row>
    <row r="67" spans="3:22" x14ac:dyDescent="0.25">
      <c r="D67" s="1" t="s">
        <v>92</v>
      </c>
      <c r="E67" s="1" t="s">
        <v>37</v>
      </c>
      <c r="F67" s="1"/>
      <c r="G67" s="3">
        <f>SUM(G65:G66)</f>
        <v>713189221</v>
      </c>
      <c r="H67" s="3">
        <f>SUM(H65:H66)</f>
        <v>911474584</v>
      </c>
      <c r="I67" s="3">
        <f>SUM(I65:I66)</f>
        <v>1068537095</v>
      </c>
      <c r="J67" s="38"/>
      <c r="K67" s="38"/>
      <c r="L67" s="14">
        <f t="shared" si="71"/>
        <v>1068537095</v>
      </c>
      <c r="M67" s="3">
        <f>SUM(M65:M66)</f>
        <v>1348748423.381844</v>
      </c>
      <c r="N67" s="3">
        <f t="shared" ref="N67:V67" si="73">SUM(N65:N66)</f>
        <v>1543612097.2732265</v>
      </c>
      <c r="O67" s="3">
        <f t="shared" si="73"/>
        <v>1775653460.9961095</v>
      </c>
      <c r="P67" s="3">
        <f t="shared" si="73"/>
        <v>2051965579.1202276</v>
      </c>
      <c r="Q67" s="3">
        <f t="shared" si="73"/>
        <v>2380994789.2459536</v>
      </c>
      <c r="R67" s="3">
        <f t="shared" si="73"/>
        <v>2772798890.53162</v>
      </c>
      <c r="S67" s="3">
        <f t="shared" si="73"/>
        <v>3239354591.5455537</v>
      </c>
      <c r="T67" s="3">
        <f t="shared" si="73"/>
        <v>3794923615.5407763</v>
      </c>
      <c r="U67" s="3">
        <f t="shared" si="73"/>
        <v>4456488654.2965374</v>
      </c>
      <c r="V67" s="3">
        <f t="shared" si="73"/>
        <v>5244272496.8091021</v>
      </c>
    </row>
    <row r="68" spans="3:22" x14ac:dyDescent="0.25">
      <c r="G68" s="31"/>
      <c r="H68" s="31"/>
      <c r="I68" s="31"/>
      <c r="J68" s="15"/>
      <c r="K68" s="15"/>
      <c r="L68" s="13"/>
      <c r="M68" s="31"/>
      <c r="N68" s="31"/>
      <c r="O68" s="31"/>
      <c r="P68" s="31"/>
      <c r="Q68" s="31"/>
      <c r="R68" s="31"/>
      <c r="S68" s="31"/>
      <c r="T68" s="31"/>
      <c r="U68" s="31"/>
      <c r="V68" s="31"/>
    </row>
    <row r="69" spans="3:22" x14ac:dyDescent="0.25">
      <c r="D69" t="s">
        <v>93</v>
      </c>
      <c r="E69" t="s">
        <v>37</v>
      </c>
      <c r="G69" s="4">
        <v>-127796333</v>
      </c>
      <c r="H69" s="4">
        <v>-150123154</v>
      </c>
      <c r="I69" s="4">
        <v>-208069216</v>
      </c>
      <c r="J69" s="15"/>
      <c r="K69" s="15"/>
      <c r="L69" s="13">
        <f t="shared" si="71"/>
        <v>-208069216</v>
      </c>
      <c r="M69" s="31">
        <f>-M48*AVERAGE(L33:M33)</f>
        <v>-223379925.38246831</v>
      </c>
      <c r="N69" s="31">
        <f t="shared" ref="N69:V69" si="74">-N48*AVERAGE(M33:N33)</f>
        <v>-239817268.61448407</v>
      </c>
      <c r="O69" s="31">
        <f t="shared" si="74"/>
        <v>-257464148.70199162</v>
      </c>
      <c r="P69" s="31">
        <f t="shared" si="74"/>
        <v>-276409569.04317653</v>
      </c>
      <c r="Q69" s="31">
        <f t="shared" si="74"/>
        <v>-296749082.32395607</v>
      </c>
      <c r="R69" s="31">
        <f t="shared" si="74"/>
        <v>-318585272.44530618</v>
      </c>
      <c r="S69" s="31">
        <f t="shared" si="74"/>
        <v>-342028271.91306299</v>
      </c>
      <c r="T69" s="31">
        <f t="shared" si="74"/>
        <v>-367196317.29969412</v>
      </c>
      <c r="U69" s="31">
        <f t="shared" si="74"/>
        <v>-394216345.57955384</v>
      </c>
      <c r="V69" s="31">
        <f t="shared" si="74"/>
        <v>-423224634.34528476</v>
      </c>
    </row>
    <row r="70" spans="3:22" x14ac:dyDescent="0.25">
      <c r="D70" s="1" t="s">
        <v>94</v>
      </c>
      <c r="E70" s="1" t="s">
        <v>37</v>
      </c>
      <c r="F70" s="1"/>
      <c r="G70" s="3">
        <f>SUM(G67:G69)</f>
        <v>585392888</v>
      </c>
      <c r="H70" s="3">
        <f>SUM(H67:H69)</f>
        <v>761351430</v>
      </c>
      <c r="I70" s="3">
        <f>SUM(I67:I69)</f>
        <v>860467879</v>
      </c>
      <c r="J70" s="38"/>
      <c r="K70" s="38"/>
      <c r="L70" s="14">
        <f t="shared" si="71"/>
        <v>860467879</v>
      </c>
      <c r="M70" s="3">
        <f>SUM(M67:M69)</f>
        <v>1125368497.9993758</v>
      </c>
      <c r="N70" s="3">
        <f t="shared" ref="N70:V70" si="75">SUM(N67:N69)</f>
        <v>1303794828.6587424</v>
      </c>
      <c r="O70" s="3">
        <f t="shared" si="75"/>
        <v>1518189312.2941179</v>
      </c>
      <c r="P70" s="3">
        <f t="shared" si="75"/>
        <v>1775556010.0770512</v>
      </c>
      <c r="Q70" s="3">
        <f t="shared" si="75"/>
        <v>2084245706.9219975</v>
      </c>
      <c r="R70" s="3">
        <f t="shared" si="75"/>
        <v>2454213618.0863137</v>
      </c>
      <c r="S70" s="3">
        <f t="shared" si="75"/>
        <v>2897326319.6324906</v>
      </c>
      <c r="T70" s="3">
        <f t="shared" si="75"/>
        <v>3427727298.2410822</v>
      </c>
      <c r="U70" s="3">
        <f t="shared" si="75"/>
        <v>4062272308.7169838</v>
      </c>
      <c r="V70" s="3">
        <f t="shared" si="75"/>
        <v>4821047862.4638176</v>
      </c>
    </row>
    <row r="71" spans="3:22" x14ac:dyDescent="0.25">
      <c r="G71" s="31"/>
      <c r="H71" s="31"/>
      <c r="I71" s="31"/>
      <c r="J71" s="15"/>
      <c r="K71" s="15"/>
      <c r="L71" s="13"/>
      <c r="M71" s="31"/>
      <c r="N71" s="31"/>
      <c r="O71" s="31"/>
      <c r="P71" s="31"/>
      <c r="Q71" s="31"/>
      <c r="R71" s="31"/>
      <c r="S71" s="31"/>
      <c r="T71" s="31"/>
      <c r="U71" s="31"/>
      <c r="V71" s="31"/>
    </row>
    <row r="72" spans="3:22" s="46" customFormat="1" x14ac:dyDescent="0.25">
      <c r="D72" s="46" t="s">
        <v>95</v>
      </c>
      <c r="E72" s="46" t="s">
        <v>37</v>
      </c>
      <c r="G72" s="132">
        <f>(134334461-23880549)-G74</f>
        <v>-37550343</v>
      </c>
      <c r="H72" s="47">
        <v>173767998</v>
      </c>
      <c r="I72" s="47">
        <v>176845905</v>
      </c>
      <c r="J72" s="15"/>
      <c r="K72" s="15"/>
      <c r="L72" s="13">
        <f>I72</f>
        <v>176845905</v>
      </c>
      <c r="M72" s="48">
        <f>M49*AVERAGE(L21:M21)</f>
        <v>210586017.11410153</v>
      </c>
      <c r="N72" s="48">
        <f t="shared" ref="N72:V72" si="76">N49*AVERAGE(M21:N21)</f>
        <v>250763344.52856377</v>
      </c>
      <c r="O72" s="48">
        <f t="shared" si="76"/>
        <v>298606031.97162789</v>
      </c>
      <c r="P72" s="48">
        <f t="shared" si="76"/>
        <v>355576539.69511586</v>
      </c>
      <c r="Q72" s="48">
        <f t="shared" si="76"/>
        <v>423416348.11170024</v>
      </c>
      <c r="R72" s="48">
        <f t="shared" si="76"/>
        <v>504199191.54950672</v>
      </c>
      <c r="S72" s="48">
        <f t="shared" si="76"/>
        <v>600394448.37900305</v>
      </c>
      <c r="T72" s="48">
        <f t="shared" si="76"/>
        <v>714942625.22817409</v>
      </c>
      <c r="U72" s="48">
        <f t="shared" si="76"/>
        <v>851345242.69533384</v>
      </c>
      <c r="V72" s="48">
        <f t="shared" si="76"/>
        <v>1013771870.1954025</v>
      </c>
    </row>
    <row r="73" spans="3:22" s="46" customFormat="1" x14ac:dyDescent="0.25">
      <c r="D73" s="46" t="s">
        <v>117</v>
      </c>
      <c r="E73" s="46" t="s">
        <v>37</v>
      </c>
      <c r="G73" s="47">
        <v>0</v>
      </c>
      <c r="H73" s="47">
        <v>0</v>
      </c>
      <c r="I73" s="47">
        <v>1249616</v>
      </c>
      <c r="J73" s="15"/>
      <c r="K73" s="15"/>
      <c r="L73" s="13">
        <f>I73</f>
        <v>1249616</v>
      </c>
      <c r="M73" s="48">
        <v>0</v>
      </c>
      <c r="N73" s="48">
        <v>0</v>
      </c>
      <c r="O73" s="48">
        <v>0</v>
      </c>
      <c r="P73" s="48">
        <v>0</v>
      </c>
      <c r="Q73" s="48">
        <v>0</v>
      </c>
      <c r="R73" s="48">
        <v>0</v>
      </c>
      <c r="S73" s="48">
        <v>0</v>
      </c>
      <c r="T73" s="48">
        <v>0</v>
      </c>
      <c r="U73" s="48">
        <v>0</v>
      </c>
      <c r="V73" s="48">
        <v>0</v>
      </c>
    </row>
    <row r="74" spans="3:22" s="46" customFormat="1" x14ac:dyDescent="0.25">
      <c r="D74" s="46" t="s">
        <v>118</v>
      </c>
      <c r="E74" s="46" t="s">
        <v>37</v>
      </c>
      <c r="G74" s="132">
        <v>148004255</v>
      </c>
      <c r="H74" s="47">
        <v>140367051</v>
      </c>
      <c r="I74" s="47">
        <v>232429343</v>
      </c>
      <c r="J74" s="15"/>
      <c r="K74" s="15"/>
      <c r="L74" s="13">
        <f>I74</f>
        <v>232429343</v>
      </c>
      <c r="M74" s="48">
        <f t="shared" ref="M74:V74" si="77">M50*AVERAGE(L24:M24)</f>
        <v>368813770.94385803</v>
      </c>
      <c r="N74" s="48">
        <f t="shared" si="77"/>
        <v>368813770.94385803</v>
      </c>
      <c r="O74" s="48">
        <f t="shared" si="77"/>
        <v>368813770.94385803</v>
      </c>
      <c r="P74" s="48">
        <f t="shared" si="77"/>
        <v>368813770.94385803</v>
      </c>
      <c r="Q74" s="48">
        <f t="shared" si="77"/>
        <v>368813770.94385803</v>
      </c>
      <c r="R74" s="48">
        <f t="shared" si="77"/>
        <v>368813770.94385803</v>
      </c>
      <c r="S74" s="48">
        <f t="shared" si="77"/>
        <v>368813770.94385803</v>
      </c>
      <c r="T74" s="48">
        <f t="shared" si="77"/>
        <v>368813770.94385803</v>
      </c>
      <c r="U74" s="48">
        <f t="shared" si="77"/>
        <v>368813770.94385803</v>
      </c>
      <c r="V74" s="48">
        <f t="shared" si="77"/>
        <v>368813770.94385803</v>
      </c>
    </row>
    <row r="75" spans="3:22" s="46" customFormat="1" x14ac:dyDescent="0.25">
      <c r="D75" s="49" t="s">
        <v>119</v>
      </c>
      <c r="E75" s="49" t="s">
        <v>37</v>
      </c>
      <c r="F75" s="49"/>
      <c r="G75" s="131">
        <f>SUM(G72:G74)</f>
        <v>110453912</v>
      </c>
      <c r="H75" s="131">
        <f>SUM(H72:H74)</f>
        <v>314135049</v>
      </c>
      <c r="I75" s="131">
        <f>SUM(I72:I74)</f>
        <v>410524864</v>
      </c>
      <c r="J75" s="38"/>
      <c r="K75" s="38"/>
      <c r="L75" s="14">
        <f t="shared" ref="L75" si="78">I75</f>
        <v>410524864</v>
      </c>
      <c r="M75" s="3">
        <f>SUM(M72:M74)</f>
        <v>579399788.05795956</v>
      </c>
      <c r="N75" s="3">
        <f t="shared" ref="N75:V75" si="79">SUM(N72:N74)</f>
        <v>619577115.47242177</v>
      </c>
      <c r="O75" s="3">
        <f t="shared" si="79"/>
        <v>667419802.91548586</v>
      </c>
      <c r="P75" s="3">
        <f t="shared" si="79"/>
        <v>724390310.63897395</v>
      </c>
      <c r="Q75" s="3">
        <f t="shared" si="79"/>
        <v>792230119.0555582</v>
      </c>
      <c r="R75" s="3">
        <f t="shared" si="79"/>
        <v>873012962.49336481</v>
      </c>
      <c r="S75" s="3">
        <f t="shared" si="79"/>
        <v>969208219.32286108</v>
      </c>
      <c r="T75" s="3">
        <f t="shared" si="79"/>
        <v>1083756396.1720321</v>
      </c>
      <c r="U75" s="3">
        <f t="shared" si="79"/>
        <v>1220159013.6391919</v>
      </c>
      <c r="V75" s="3">
        <f t="shared" si="79"/>
        <v>1382585641.1392605</v>
      </c>
    </row>
    <row r="76" spans="3:22" s="46" customFormat="1" ht="15.75" thickBot="1" x14ac:dyDescent="0.3">
      <c r="G76" s="47"/>
      <c r="H76" s="47"/>
      <c r="I76" s="47"/>
      <c r="J76" s="15"/>
      <c r="K76" s="15"/>
      <c r="L76" s="13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spans="3:22" ht="15.75" thickBot="1" x14ac:dyDescent="0.3">
      <c r="D77" s="6" t="s">
        <v>96</v>
      </c>
      <c r="E77" s="7" t="s">
        <v>37</v>
      </c>
      <c r="F77" s="7"/>
      <c r="G77" s="50">
        <f>G70+G75</f>
        <v>695846800</v>
      </c>
      <c r="H77" s="50">
        <f>H70+H75</f>
        <v>1075486479</v>
      </c>
      <c r="I77" s="50">
        <f>I70+I75</f>
        <v>1270992743</v>
      </c>
      <c r="J77" s="51"/>
      <c r="K77" s="51"/>
      <c r="L77" s="25">
        <f t="shared" ref="L77:V77" si="80">L70+L75</f>
        <v>1270992743</v>
      </c>
      <c r="M77" s="50">
        <f t="shared" si="80"/>
        <v>1704768286.0573354</v>
      </c>
      <c r="N77" s="50">
        <f t="shared" si="80"/>
        <v>1923371944.1311641</v>
      </c>
      <c r="O77" s="50">
        <f t="shared" si="80"/>
        <v>2185609115.2096038</v>
      </c>
      <c r="P77" s="50">
        <f t="shared" si="80"/>
        <v>2499946320.7160254</v>
      </c>
      <c r="Q77" s="50">
        <f t="shared" si="80"/>
        <v>2876475825.9775558</v>
      </c>
      <c r="R77" s="50">
        <f t="shared" si="80"/>
        <v>3327226580.5796785</v>
      </c>
      <c r="S77" s="50">
        <f t="shared" si="80"/>
        <v>3866534538.9553518</v>
      </c>
      <c r="T77" s="50">
        <f t="shared" si="80"/>
        <v>4511483694.4131145</v>
      </c>
      <c r="U77" s="50">
        <f t="shared" si="80"/>
        <v>5282431322.3561754</v>
      </c>
      <c r="V77" s="52">
        <f t="shared" si="80"/>
        <v>6203633503.6030779</v>
      </c>
    </row>
    <row r="78" spans="3:22" x14ac:dyDescent="0.25">
      <c r="G78" s="31"/>
      <c r="H78" s="31"/>
      <c r="I78" s="31"/>
      <c r="J78" s="15"/>
      <c r="K78" s="15"/>
      <c r="L78" s="13"/>
      <c r="M78" s="31"/>
      <c r="N78" s="31"/>
      <c r="O78" s="31"/>
      <c r="P78" s="31"/>
      <c r="Q78" s="31"/>
      <c r="R78" s="31"/>
      <c r="S78" s="31"/>
      <c r="T78" s="31"/>
      <c r="U78" s="31"/>
      <c r="V78" s="31"/>
    </row>
    <row r="79" spans="3:22" x14ac:dyDescent="0.25">
      <c r="C79" t="s">
        <v>98</v>
      </c>
      <c r="G79" s="31"/>
      <c r="H79" s="31"/>
      <c r="I79" s="31"/>
      <c r="J79" s="15"/>
      <c r="K79" s="15"/>
      <c r="L79" s="13"/>
      <c r="M79" s="31"/>
      <c r="N79" s="31"/>
      <c r="O79" s="31"/>
      <c r="P79" s="31"/>
      <c r="Q79" s="31"/>
      <c r="R79" s="31"/>
      <c r="S79" s="31"/>
      <c r="T79" s="31"/>
      <c r="U79" s="31"/>
      <c r="V79" s="31"/>
    </row>
    <row r="80" spans="3:22" x14ac:dyDescent="0.25">
      <c r="D80" t="s">
        <v>99</v>
      </c>
      <c r="E80" t="s">
        <v>37</v>
      </c>
      <c r="G80" s="4">
        <v>-43554754</v>
      </c>
      <c r="H80" s="4">
        <v>-65234924</v>
      </c>
      <c r="I80" s="4">
        <f>'2025 Data'!H77</f>
        <v>-50379064</v>
      </c>
      <c r="J80" s="15"/>
      <c r="K80" s="15"/>
      <c r="L80" s="13">
        <f t="shared" si="71"/>
        <v>-50379064</v>
      </c>
      <c r="M80" s="31">
        <f>-M52*M$77</f>
        <v>-92561086.32664308</v>
      </c>
      <c r="N80" s="31">
        <f t="shared" ref="N80:V80" si="81">-N52*N$77</f>
        <v>-104430260.70757188</v>
      </c>
      <c r="O80" s="31">
        <f t="shared" si="81"/>
        <v>-118668534.39483225</v>
      </c>
      <c r="P80" s="31">
        <f t="shared" si="81"/>
        <v>-135735600.60700667</v>
      </c>
      <c r="Q80" s="31">
        <f t="shared" si="81"/>
        <v>-156179422.98807868</v>
      </c>
      <c r="R80" s="31">
        <f t="shared" si="81"/>
        <v>-180653118.24024588</v>
      </c>
      <c r="S80" s="31">
        <f t="shared" si="81"/>
        <v>-209935062.83067769</v>
      </c>
      <c r="T80" s="31">
        <f t="shared" si="81"/>
        <v>-244952839.11315703</v>
      </c>
      <c r="U80" s="31">
        <f t="shared" si="81"/>
        <v>-286811753.62193996</v>
      </c>
      <c r="V80" s="31">
        <f t="shared" si="81"/>
        <v>-336828800.11445004</v>
      </c>
    </row>
    <row r="81" spans="3:22" x14ac:dyDescent="0.25">
      <c r="D81" t="s">
        <v>100</v>
      </c>
      <c r="E81" t="s">
        <v>37</v>
      </c>
      <c r="F81" s="31"/>
      <c r="G81" s="4">
        <v>-18715076</v>
      </c>
      <c r="H81" s="4">
        <v>-183299974</v>
      </c>
      <c r="I81" s="4">
        <v>-170212192</v>
      </c>
      <c r="J81" s="15"/>
      <c r="K81" s="15"/>
      <c r="L81" s="13">
        <f t="shared" si="71"/>
        <v>-170212192</v>
      </c>
      <c r="M81" s="31">
        <f t="shared" ref="M81:V86" si="82">-M53*M$77</f>
        <v>-259427494.73936364</v>
      </c>
      <c r="N81" s="31">
        <f t="shared" si="82"/>
        <v>-292694068.16097087</v>
      </c>
      <c r="O81" s="31">
        <f t="shared" si="82"/>
        <v>-332600683.55077022</v>
      </c>
      <c r="P81" s="31">
        <f t="shared" si="82"/>
        <v>-380435755.56310868</v>
      </c>
      <c r="Q81" s="31">
        <f t="shared" si="82"/>
        <v>-437735100.60862386</v>
      </c>
      <c r="R81" s="31">
        <f t="shared" si="82"/>
        <v>-506329255.00174093</v>
      </c>
      <c r="S81" s="31">
        <f t="shared" si="82"/>
        <v>-588399829.44794834</v>
      </c>
      <c r="T81" s="31">
        <f t="shared" si="82"/>
        <v>-686546624.53036726</v>
      </c>
      <c r="U81" s="31">
        <f t="shared" si="82"/>
        <v>-803867560.94635391</v>
      </c>
      <c r="V81" s="31">
        <f t="shared" si="82"/>
        <v>-944053870.12625349</v>
      </c>
    </row>
    <row r="82" spans="3:22" x14ac:dyDescent="0.25">
      <c r="D82" t="s">
        <v>101</v>
      </c>
      <c r="E82" t="s">
        <v>37</v>
      </c>
      <c r="G82" s="4">
        <v>-82476161</v>
      </c>
      <c r="H82" s="4">
        <v>-31842106</v>
      </c>
      <c r="I82" s="4">
        <v>-50370070</v>
      </c>
      <c r="J82" s="15"/>
      <c r="K82" s="15"/>
      <c r="L82" s="13">
        <f t="shared" si="71"/>
        <v>-50370070</v>
      </c>
      <c r="M82" s="31">
        <f t="shared" si="82"/>
        <v>-59017082.733355761</v>
      </c>
      <c r="N82" s="31">
        <f t="shared" si="82"/>
        <v>-66584885.513283506</v>
      </c>
      <c r="O82" s="31">
        <f t="shared" si="82"/>
        <v>-75663229.442997441</v>
      </c>
      <c r="P82" s="31">
        <f t="shared" si="82"/>
        <v>-86545215.58461459</v>
      </c>
      <c r="Q82" s="31">
        <f t="shared" si="82"/>
        <v>-99580226.351363376</v>
      </c>
      <c r="R82" s="31">
        <f t="shared" si="82"/>
        <v>-115184689.89872275</v>
      </c>
      <c r="S82" s="31">
        <f t="shared" si="82"/>
        <v>-133854900.18977919</v>
      </c>
      <c r="T82" s="31">
        <f t="shared" si="82"/>
        <v>-156182285.07707557</v>
      </c>
      <c r="U82" s="31">
        <f t="shared" si="82"/>
        <v>-182871589.60809016</v>
      </c>
      <c r="V82" s="31">
        <f t="shared" si="82"/>
        <v>-214762530.91046005</v>
      </c>
    </row>
    <row r="83" spans="3:22" x14ac:dyDescent="0.25">
      <c r="D83" t="s">
        <v>102</v>
      </c>
      <c r="E83" t="s">
        <v>37</v>
      </c>
      <c r="G83" s="4">
        <v>-2053376</v>
      </c>
      <c r="H83" s="4">
        <v>-20787934</v>
      </c>
      <c r="I83" s="4">
        <v>-24690844</v>
      </c>
      <c r="J83" s="15"/>
      <c r="K83" s="15"/>
      <c r="L83" s="13">
        <f t="shared" si="71"/>
        <v>-24690844</v>
      </c>
      <c r="M83" s="31">
        <f t="shared" si="82"/>
        <v>-33034394.674165551</v>
      </c>
      <c r="N83" s="31">
        <f t="shared" si="82"/>
        <v>-37270418.758546203</v>
      </c>
      <c r="O83" s="31">
        <f t="shared" si="82"/>
        <v>-42351957.568537004</v>
      </c>
      <c r="P83" s="31">
        <f t="shared" si="82"/>
        <v>-48443072.350762703</v>
      </c>
      <c r="Q83" s="31">
        <f t="shared" si="82"/>
        <v>-55739327.440094747</v>
      </c>
      <c r="R83" s="31">
        <f t="shared" si="82"/>
        <v>-64473815.551462434</v>
      </c>
      <c r="S83" s="31">
        <f t="shared" si="82"/>
        <v>-74924333.720769376</v>
      </c>
      <c r="T83" s="31">
        <f t="shared" si="82"/>
        <v>-87421929.505728111</v>
      </c>
      <c r="U83" s="31">
        <f t="shared" si="82"/>
        <v>-102361078.96250436</v>
      </c>
      <c r="V83" s="31">
        <f t="shared" si="82"/>
        <v>-120211807.81457129</v>
      </c>
    </row>
    <row r="84" spans="3:22" x14ac:dyDescent="0.25">
      <c r="D84" t="s">
        <v>103</v>
      </c>
      <c r="E84" t="s">
        <v>37</v>
      </c>
      <c r="F84" s="20"/>
      <c r="G84" s="4">
        <v>-158166409</v>
      </c>
      <c r="H84" s="4">
        <v>-286631948</v>
      </c>
      <c r="I84" s="4">
        <v>-294340396</v>
      </c>
      <c r="J84" s="15"/>
      <c r="K84" s="15"/>
      <c r="L84" s="13">
        <f t="shared" si="71"/>
        <v>-294340396</v>
      </c>
      <c r="M84" s="31">
        <f t="shared" si="82"/>
        <v>-424569838.08466744</v>
      </c>
      <c r="N84" s="31">
        <f t="shared" si="82"/>
        <v>-479012732.44878745</v>
      </c>
      <c r="O84" s="31">
        <f t="shared" si="82"/>
        <v>-544322484.02919066</v>
      </c>
      <c r="P84" s="31">
        <f t="shared" si="82"/>
        <v>-622607666.55948079</v>
      </c>
      <c r="Q84" s="31">
        <f t="shared" si="82"/>
        <v>-716381742.714257</v>
      </c>
      <c r="R84" s="31">
        <f t="shared" si="82"/>
        <v>-828640503.31131363</v>
      </c>
      <c r="S84" s="31">
        <f t="shared" si="82"/>
        <v>-962954295.06707561</v>
      </c>
      <c r="T84" s="31">
        <f t="shared" si="82"/>
        <v>-1123577859.4218714</v>
      </c>
      <c r="U84" s="31">
        <f t="shared" si="82"/>
        <v>-1315581143.5306745</v>
      </c>
      <c r="V84" s="31">
        <f t="shared" si="82"/>
        <v>-1545005085.8541098</v>
      </c>
    </row>
    <row r="85" spans="3:22" x14ac:dyDescent="0.25">
      <c r="D85" t="s">
        <v>104</v>
      </c>
      <c r="E85" t="s">
        <v>37</v>
      </c>
      <c r="F85" s="20"/>
      <c r="G85" s="4">
        <v>-2995686</v>
      </c>
      <c r="H85" s="4">
        <v>-26903028</v>
      </c>
      <c r="I85" s="4">
        <v>-50320477</v>
      </c>
      <c r="J85" s="15"/>
      <c r="K85" s="15"/>
      <c r="L85" s="13">
        <f t="shared" si="71"/>
        <v>-50320477</v>
      </c>
      <c r="M85" s="31">
        <f t="shared" si="82"/>
        <v>-67494290.428751543</v>
      </c>
      <c r="N85" s="31">
        <f t="shared" si="82"/>
        <v>-76149131.621829823</v>
      </c>
      <c r="O85" s="31">
        <f t="shared" si="82"/>
        <v>-86531487.940128401</v>
      </c>
      <c r="P85" s="31">
        <f t="shared" si="82"/>
        <v>-98976561.4521887</v>
      </c>
      <c r="Q85" s="31">
        <f t="shared" si="82"/>
        <v>-113883919.82515009</v>
      </c>
      <c r="R85" s="31">
        <f t="shared" si="82"/>
        <v>-131729806.91192535</v>
      </c>
      <c r="S85" s="31">
        <f t="shared" si="82"/>
        <v>-153081804.28942731</v>
      </c>
      <c r="T85" s="31">
        <f t="shared" si="82"/>
        <v>-178616292.44612464</v>
      </c>
      <c r="U85" s="31">
        <f t="shared" si="82"/>
        <v>-209139245.93565008</v>
      </c>
      <c r="V85" s="31">
        <f t="shared" si="82"/>
        <v>-245610998.76751074</v>
      </c>
    </row>
    <row r="86" spans="3:22" x14ac:dyDescent="0.25">
      <c r="D86" t="s">
        <v>105</v>
      </c>
      <c r="E86" t="s">
        <v>37</v>
      </c>
      <c r="G86" s="4">
        <v>-130646575</v>
      </c>
      <c r="H86" s="4">
        <v>-117296333</v>
      </c>
      <c r="I86" s="4">
        <v>-57168076</v>
      </c>
      <c r="J86" s="15"/>
      <c r="K86" s="15"/>
      <c r="L86" s="13">
        <f t="shared" si="71"/>
        <v>-57168076</v>
      </c>
      <c r="M86" s="31">
        <f t="shared" si="82"/>
        <v>-194226813.22293225</v>
      </c>
      <c r="N86" s="31">
        <f t="shared" si="82"/>
        <v>-219132656.56469846</v>
      </c>
      <c r="O86" s="31">
        <f t="shared" si="82"/>
        <v>-249009731.62746698</v>
      </c>
      <c r="P86" s="31">
        <f t="shared" si="82"/>
        <v>-284822641.92280835</v>
      </c>
      <c r="Q86" s="31">
        <f t="shared" si="82"/>
        <v>-327721214.40886098</v>
      </c>
      <c r="R86" s="31">
        <f t="shared" si="82"/>
        <v>-379075925.39229715</v>
      </c>
      <c r="S86" s="31">
        <f t="shared" si="82"/>
        <v>-440520091.70966017</v>
      </c>
      <c r="T86" s="31">
        <f t="shared" si="82"/>
        <v>-514000118.39709336</v>
      </c>
      <c r="U86" s="31">
        <f t="shared" si="82"/>
        <v>-601835340.4397701</v>
      </c>
      <c r="V86" s="31">
        <f t="shared" si="82"/>
        <v>-706789289.58402491</v>
      </c>
    </row>
    <row r="87" spans="3:22" x14ac:dyDescent="0.25">
      <c r="D87" s="1" t="s">
        <v>79</v>
      </c>
      <c r="E87" s="1" t="s">
        <v>37</v>
      </c>
      <c r="F87" s="1"/>
      <c r="G87" s="3">
        <f>SUM(G80:G86)</f>
        <v>-438608037</v>
      </c>
      <c r="H87" s="3">
        <f>SUM(H80:H86)</f>
        <v>-731996247</v>
      </c>
      <c r="I87" s="3">
        <f>SUM(I80:I86)</f>
        <v>-697481119</v>
      </c>
      <c r="J87" s="38"/>
      <c r="K87" s="38"/>
      <c r="L87" s="14">
        <f t="shared" si="71"/>
        <v>-697481119</v>
      </c>
      <c r="M87" s="3">
        <f>SUM(M80:M86)</f>
        <v>-1130331000.2098794</v>
      </c>
      <c r="N87" s="3">
        <f t="shared" ref="N87:V87" si="83">SUM(N80:N86)</f>
        <v>-1275274153.7756882</v>
      </c>
      <c r="O87" s="3">
        <f t="shared" si="83"/>
        <v>-1449148108.5539229</v>
      </c>
      <c r="P87" s="3">
        <f t="shared" si="83"/>
        <v>-1657566514.0399706</v>
      </c>
      <c r="Q87" s="3">
        <f t="shared" si="83"/>
        <v>-1907220954.3364286</v>
      </c>
      <c r="R87" s="3">
        <f t="shared" si="83"/>
        <v>-2206087114.3077083</v>
      </c>
      <c r="S87" s="3">
        <f t="shared" si="83"/>
        <v>-2563670317.2553377</v>
      </c>
      <c r="T87" s="3">
        <f t="shared" si="83"/>
        <v>-2991297948.4914169</v>
      </c>
      <c r="U87" s="3">
        <f t="shared" si="83"/>
        <v>-3502467713.0449829</v>
      </c>
      <c r="V87" s="3">
        <f t="shared" si="83"/>
        <v>-4113262383.1713805</v>
      </c>
    </row>
    <row r="88" spans="3:22" x14ac:dyDescent="0.25">
      <c r="G88" s="31"/>
      <c r="H88" s="31"/>
      <c r="I88" s="31"/>
      <c r="J88" s="15"/>
      <c r="K88" s="15"/>
      <c r="L88" s="13"/>
      <c r="M88" s="31"/>
      <c r="N88" s="31"/>
      <c r="O88" s="31"/>
      <c r="P88" s="31"/>
      <c r="Q88" s="31"/>
      <c r="R88" s="31"/>
      <c r="S88" s="31"/>
      <c r="T88" s="31"/>
      <c r="U88" s="31"/>
      <c r="V88" s="31"/>
    </row>
    <row r="89" spans="3:22" x14ac:dyDescent="0.25">
      <c r="D89" s="18" t="s">
        <v>106</v>
      </c>
      <c r="E89" s="18" t="s">
        <v>37</v>
      </c>
      <c r="F89" s="18"/>
      <c r="G89" s="41">
        <f>G77+G87</f>
        <v>257238763</v>
      </c>
      <c r="H89" s="41">
        <f>H77+H87</f>
        <v>343490232</v>
      </c>
      <c r="I89" s="41">
        <f>I77+I87</f>
        <v>573511624</v>
      </c>
      <c r="J89" s="34"/>
      <c r="K89" s="34"/>
      <c r="L89" s="16">
        <f t="shared" si="71"/>
        <v>573511624</v>
      </c>
      <c r="M89" s="41">
        <f>M77+M87</f>
        <v>574437285.84745598</v>
      </c>
      <c r="N89" s="41">
        <f t="shared" ref="N89:V89" si="84">N77+N87</f>
        <v>648097790.3554759</v>
      </c>
      <c r="O89" s="41">
        <f t="shared" si="84"/>
        <v>736461006.65568089</v>
      </c>
      <c r="P89" s="41">
        <f t="shared" si="84"/>
        <v>842379806.67605472</v>
      </c>
      <c r="Q89" s="41">
        <f t="shared" si="84"/>
        <v>969254871.64112711</v>
      </c>
      <c r="R89" s="41">
        <f t="shared" si="84"/>
        <v>1121139466.2719703</v>
      </c>
      <c r="S89" s="41">
        <f t="shared" si="84"/>
        <v>1302864221.7000141</v>
      </c>
      <c r="T89" s="41">
        <f t="shared" si="84"/>
        <v>1520185745.9216976</v>
      </c>
      <c r="U89" s="41">
        <f t="shared" si="84"/>
        <v>1779963609.3111925</v>
      </c>
      <c r="V89" s="41">
        <f t="shared" si="84"/>
        <v>2090371120.4316974</v>
      </c>
    </row>
    <row r="90" spans="3:22" x14ac:dyDescent="0.25">
      <c r="D90" t="s">
        <v>107</v>
      </c>
      <c r="E90" t="s">
        <v>37</v>
      </c>
      <c r="G90" s="4">
        <v>-94709805</v>
      </c>
      <c r="H90" s="4">
        <v>-88184135</v>
      </c>
      <c r="I90" s="4">
        <v>-158208018</v>
      </c>
      <c r="J90" s="15"/>
      <c r="K90" s="15"/>
      <c r="L90" s="13">
        <f>I90</f>
        <v>-158208018</v>
      </c>
      <c r="M90" s="31">
        <f>-M89*M61</f>
        <v>-152969233.14087889</v>
      </c>
      <c r="N90" s="31">
        <f t="shared" ref="N90:V90" si="85">-N89*N61</f>
        <v>-172584587.4449417</v>
      </c>
      <c r="O90" s="31">
        <f t="shared" si="85"/>
        <v>-196115186.46475086</v>
      </c>
      <c r="P90" s="31">
        <f t="shared" si="85"/>
        <v>-224320733.0291869</v>
      </c>
      <c r="Q90" s="31">
        <f t="shared" si="85"/>
        <v>-258106808.32507253</v>
      </c>
      <c r="R90" s="31">
        <f t="shared" si="85"/>
        <v>-298552772.64355713</v>
      </c>
      <c r="S90" s="31">
        <f t="shared" si="85"/>
        <v>-346944994.32800323</v>
      </c>
      <c r="T90" s="31">
        <f t="shared" si="85"/>
        <v>-404816423.85429937</v>
      </c>
      <c r="U90" s="31">
        <f t="shared" si="85"/>
        <v>-473993724.02039546</v>
      </c>
      <c r="V90" s="31">
        <f t="shared" si="85"/>
        <v>-556653398.29140317</v>
      </c>
    </row>
    <row r="91" spans="3:22" x14ac:dyDescent="0.25">
      <c r="D91" s="1" t="s">
        <v>108</v>
      </c>
      <c r="E91" s="1" t="s">
        <v>37</v>
      </c>
      <c r="F91" s="1"/>
      <c r="G91" s="3">
        <f>SUM(G89:G90)</f>
        <v>162528958</v>
      </c>
      <c r="H91" s="3">
        <f>SUM(H89:H90)</f>
        <v>255306097</v>
      </c>
      <c r="I91" s="3">
        <f>SUM(I89:I90)</f>
        <v>415303606</v>
      </c>
      <c r="J91" s="38"/>
      <c r="K91" s="38"/>
      <c r="L91" s="14">
        <f t="shared" si="71"/>
        <v>415303606</v>
      </c>
      <c r="M91" s="3">
        <f>SUM(M89:M90)</f>
        <v>421468052.70657706</v>
      </c>
      <c r="N91" s="3">
        <f t="shared" ref="N91:V91" si="86">SUM(N89:N90)</f>
        <v>475513202.9105342</v>
      </c>
      <c r="O91" s="3">
        <f t="shared" si="86"/>
        <v>540345820.19093001</v>
      </c>
      <c r="P91" s="3">
        <f t="shared" si="86"/>
        <v>618059073.64686775</v>
      </c>
      <c r="Q91" s="3">
        <f t="shared" si="86"/>
        <v>711148063.31605458</v>
      </c>
      <c r="R91" s="3">
        <f t="shared" si="86"/>
        <v>822586693.6284132</v>
      </c>
      <c r="S91" s="3">
        <f t="shared" si="86"/>
        <v>955919227.37201095</v>
      </c>
      <c r="T91" s="3">
        <f t="shared" si="86"/>
        <v>1115369322.0673983</v>
      </c>
      <c r="U91" s="3">
        <f t="shared" si="86"/>
        <v>1305969885.290797</v>
      </c>
      <c r="V91" s="3">
        <f t="shared" si="86"/>
        <v>1533717722.1402941</v>
      </c>
    </row>
    <row r="92" spans="3:22" x14ac:dyDescent="0.25">
      <c r="G92" s="31"/>
      <c r="H92" s="31"/>
      <c r="I92" s="31"/>
      <c r="J92" s="15"/>
      <c r="K92" s="15"/>
      <c r="L92" s="13"/>
      <c r="M92" s="31"/>
      <c r="N92" s="31"/>
      <c r="O92" s="31"/>
      <c r="P92" s="31"/>
      <c r="Q92" s="31"/>
      <c r="R92" s="31"/>
      <c r="S92" s="31"/>
      <c r="T92" s="31"/>
      <c r="U92" s="31"/>
      <c r="V92" s="31"/>
    </row>
    <row r="93" spans="3:22" x14ac:dyDescent="0.25">
      <c r="C93" t="s">
        <v>109</v>
      </c>
      <c r="G93" s="31"/>
      <c r="H93" s="31"/>
      <c r="I93" s="31"/>
      <c r="J93" s="15"/>
      <c r="K93" s="15"/>
      <c r="L93" s="13"/>
      <c r="M93" s="31"/>
      <c r="N93" s="31"/>
      <c r="O93" s="31"/>
      <c r="P93" s="31"/>
      <c r="Q93" s="31"/>
      <c r="R93" s="31"/>
      <c r="S93" s="31"/>
      <c r="T93" s="31"/>
      <c r="U93" s="31"/>
      <c r="V93" s="31"/>
    </row>
    <row r="94" spans="3:22" x14ac:dyDescent="0.25">
      <c r="D94" t="s">
        <v>110</v>
      </c>
      <c r="E94" t="s">
        <v>37</v>
      </c>
      <c r="G94" s="4">
        <v>0</v>
      </c>
      <c r="H94" s="4">
        <v>222122523</v>
      </c>
      <c r="I94" s="4">
        <v>2383814</v>
      </c>
      <c r="J94" s="15"/>
      <c r="K94" s="15"/>
      <c r="L94" s="13">
        <f t="shared" si="71"/>
        <v>2383814</v>
      </c>
      <c r="M94" s="31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31">
        <v>0</v>
      </c>
    </row>
    <row r="95" spans="3:22" x14ac:dyDescent="0.25">
      <c r="D95" t="s">
        <v>111</v>
      </c>
      <c r="E95" t="s">
        <v>37</v>
      </c>
      <c r="G95" s="4">
        <v>0</v>
      </c>
      <c r="H95" s="4">
        <v>6031263</v>
      </c>
      <c r="I95" s="4">
        <v>1328827311</v>
      </c>
      <c r="J95" s="15"/>
      <c r="K95" s="15"/>
      <c r="L95" s="13">
        <f t="shared" si="71"/>
        <v>1328827311</v>
      </c>
      <c r="M95" s="31">
        <v>0</v>
      </c>
      <c r="N95" s="31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31">
        <v>0</v>
      </c>
    </row>
    <row r="96" spans="3:22" x14ac:dyDescent="0.25">
      <c r="D96" s="1" t="s">
        <v>112</v>
      </c>
      <c r="E96" s="1" t="s">
        <v>37</v>
      </c>
      <c r="F96" s="1"/>
      <c r="G96" s="3">
        <f>SUM(G91:G95)</f>
        <v>162528958</v>
      </c>
      <c r="H96" s="3">
        <f>SUM(H91:H95)</f>
        <v>483459883</v>
      </c>
      <c r="I96" s="3">
        <f>SUM(I91:I95)</f>
        <v>1746514731</v>
      </c>
      <c r="J96" s="38"/>
      <c r="K96" s="38"/>
      <c r="L96" s="14">
        <f t="shared" si="71"/>
        <v>1746514731</v>
      </c>
      <c r="M96" s="3">
        <f>SUM(M91:M95)</f>
        <v>421468052.70657706</v>
      </c>
      <c r="N96" s="3">
        <f t="shared" ref="N96:V96" si="87">SUM(N91:N95)</f>
        <v>475513202.9105342</v>
      </c>
      <c r="O96" s="3">
        <f t="shared" si="87"/>
        <v>540345820.19093001</v>
      </c>
      <c r="P96" s="3">
        <f t="shared" si="87"/>
        <v>618059073.64686775</v>
      </c>
      <c r="Q96" s="3">
        <f t="shared" si="87"/>
        <v>711148063.31605458</v>
      </c>
      <c r="R96" s="3">
        <f t="shared" si="87"/>
        <v>822586693.6284132</v>
      </c>
      <c r="S96" s="3">
        <f t="shared" si="87"/>
        <v>955919227.37201095</v>
      </c>
      <c r="T96" s="3">
        <f t="shared" si="87"/>
        <v>1115369322.0673983</v>
      </c>
      <c r="U96" s="3">
        <f t="shared" si="87"/>
        <v>1305969885.290797</v>
      </c>
      <c r="V96" s="3">
        <f t="shared" si="87"/>
        <v>1533717722.1402941</v>
      </c>
    </row>
    <row r="97" spans="2:22" x14ac:dyDescent="0.25">
      <c r="J97" s="15"/>
      <c r="K97" s="15"/>
      <c r="L97" s="15"/>
    </row>
    <row r="98" spans="2:22" x14ac:dyDescent="0.25">
      <c r="B98" s="42"/>
      <c r="C98" s="42" t="s">
        <v>115</v>
      </c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</row>
    <row r="99" spans="2:22" x14ac:dyDescent="0.25">
      <c r="J99" s="15"/>
      <c r="K99" s="15"/>
      <c r="L99" s="15"/>
    </row>
    <row r="100" spans="2:22" x14ac:dyDescent="0.25">
      <c r="B100" t="s">
        <v>198</v>
      </c>
      <c r="E100" t="s">
        <v>191</v>
      </c>
      <c r="G100" s="39">
        <f t="shared" ref="G100:H100" si="88">G111/G$77</f>
        <v>2.3797081484027805E-2</v>
      </c>
      <c r="H100" s="39">
        <f t="shared" si="88"/>
        <v>2.4329549009606842E-2</v>
      </c>
      <c r="I100" s="39">
        <f>I111/I$77</f>
        <v>1.8823584266523228E-2</v>
      </c>
      <c r="J100" s="15"/>
      <c r="K100" s="15"/>
      <c r="L100" s="58">
        <f>I100</f>
        <v>1.8823584266523228E-2</v>
      </c>
      <c r="M100" s="59">
        <v>0.02</v>
      </c>
      <c r="N100" s="40">
        <f>M100</f>
        <v>0.02</v>
      </c>
      <c r="O100" s="40">
        <f t="shared" ref="O100:V100" si="89">N100</f>
        <v>0.02</v>
      </c>
      <c r="P100" s="40">
        <f t="shared" si="89"/>
        <v>0.02</v>
      </c>
      <c r="Q100" s="40">
        <f t="shared" si="89"/>
        <v>0.02</v>
      </c>
      <c r="R100" s="40">
        <f t="shared" si="89"/>
        <v>0.02</v>
      </c>
      <c r="S100" s="40">
        <f t="shared" si="89"/>
        <v>0.02</v>
      </c>
      <c r="T100" s="40">
        <f t="shared" si="89"/>
        <v>0.02</v>
      </c>
      <c r="U100" s="40">
        <f t="shared" si="89"/>
        <v>0.02</v>
      </c>
      <c r="V100" s="40">
        <f t="shared" si="89"/>
        <v>0.02</v>
      </c>
    </row>
    <row r="101" spans="2:22" x14ac:dyDescent="0.25">
      <c r="B101" t="str">
        <f>D131</f>
        <v>Purchase of fixed assets</v>
      </c>
      <c r="E101" t="s">
        <v>191</v>
      </c>
      <c r="G101" s="39">
        <f>-G131/G$77</f>
        <v>1.8507142664161133E-2</v>
      </c>
      <c r="H101" s="39">
        <f t="shared" ref="H101" si="90">-H131/H$77</f>
        <v>1.6323360955986504E-2</v>
      </c>
      <c r="I101" s="39">
        <f>-I131/I$77</f>
        <v>6.5376305614358648E-3</v>
      </c>
      <c r="J101" s="15"/>
      <c r="K101" s="15"/>
      <c r="L101" s="58">
        <f>I101</f>
        <v>6.5376305614358648E-3</v>
      </c>
      <c r="M101" s="59">
        <v>0.02</v>
      </c>
      <c r="N101" s="40">
        <f>M101</f>
        <v>0.02</v>
      </c>
      <c r="O101" s="40">
        <f t="shared" ref="O101:V101" si="91">N101</f>
        <v>0.02</v>
      </c>
      <c r="P101" s="40">
        <f t="shared" si="91"/>
        <v>0.02</v>
      </c>
      <c r="Q101" s="40">
        <f t="shared" si="91"/>
        <v>0.02</v>
      </c>
      <c r="R101" s="40">
        <f t="shared" si="91"/>
        <v>0.02</v>
      </c>
      <c r="S101" s="40">
        <f t="shared" si="91"/>
        <v>0.02</v>
      </c>
      <c r="T101" s="40">
        <f t="shared" si="91"/>
        <v>0.02</v>
      </c>
      <c r="U101" s="40">
        <f t="shared" si="91"/>
        <v>0.02</v>
      </c>
      <c r="V101" s="40">
        <f t="shared" si="91"/>
        <v>0.02</v>
      </c>
    </row>
    <row r="102" spans="2:22" x14ac:dyDescent="0.25">
      <c r="G102" s="39"/>
      <c r="H102" s="39"/>
      <c r="I102" s="39"/>
      <c r="J102" s="15"/>
      <c r="K102" s="15"/>
      <c r="L102" s="58"/>
      <c r="M102" s="59"/>
      <c r="N102" s="40"/>
      <c r="O102" s="40"/>
      <c r="P102" s="40"/>
      <c r="Q102" s="40"/>
      <c r="R102" s="40"/>
      <c r="S102" s="40"/>
      <c r="T102" s="40"/>
      <c r="U102" s="40"/>
      <c r="V102" s="40"/>
    </row>
    <row r="103" spans="2:22" x14ac:dyDescent="0.25">
      <c r="B103" t="s">
        <v>200</v>
      </c>
      <c r="E103" t="s">
        <v>175</v>
      </c>
      <c r="G103" s="39"/>
      <c r="H103" s="39">
        <f>H143/G143-1</f>
        <v>-0.36709894810192001</v>
      </c>
      <c r="I103" s="39">
        <f>I143/H143-1</f>
        <v>0.46632802149510155</v>
      </c>
      <c r="J103" s="15"/>
      <c r="K103" s="15"/>
      <c r="L103" s="58">
        <f t="shared" ref="L103:L104" si="92">I103</f>
        <v>0.46632802149510155</v>
      </c>
      <c r="M103" s="59">
        <v>0.12</v>
      </c>
      <c r="N103" s="40">
        <f>M103</f>
        <v>0.12</v>
      </c>
      <c r="O103" s="40">
        <f t="shared" ref="O103:V103" si="93">N103</f>
        <v>0.12</v>
      </c>
      <c r="P103" s="40">
        <f t="shared" si="93"/>
        <v>0.12</v>
      </c>
      <c r="Q103" s="40">
        <f t="shared" si="93"/>
        <v>0.12</v>
      </c>
      <c r="R103" s="40">
        <f t="shared" si="93"/>
        <v>0.12</v>
      </c>
      <c r="S103" s="40">
        <f t="shared" si="93"/>
        <v>0.12</v>
      </c>
      <c r="T103" s="40">
        <f t="shared" si="93"/>
        <v>0.12</v>
      </c>
      <c r="U103" s="40">
        <f t="shared" si="93"/>
        <v>0.12</v>
      </c>
      <c r="V103" s="40">
        <f t="shared" si="93"/>
        <v>0.12</v>
      </c>
    </row>
    <row r="104" spans="2:22" x14ac:dyDescent="0.25">
      <c r="B104" t="s">
        <v>199</v>
      </c>
      <c r="E104" t="s">
        <v>201</v>
      </c>
      <c r="G104" s="39">
        <f t="shared" ref="G104:H104" si="94">-G142/G107</f>
        <v>0.35102854101851805</v>
      </c>
      <c r="H104" s="39">
        <f t="shared" si="94"/>
        <v>0.27258218592405964</v>
      </c>
      <c r="I104" s="39">
        <f>-I142/I107</f>
        <v>0.15201214506189478</v>
      </c>
      <c r="J104" s="15"/>
      <c r="K104" s="15"/>
      <c r="L104" s="58">
        <f t="shared" si="92"/>
        <v>0.15201214506189478</v>
      </c>
      <c r="M104" s="59">
        <v>0.13</v>
      </c>
      <c r="N104" s="40">
        <f>M104</f>
        <v>0.13</v>
      </c>
      <c r="O104" s="40">
        <f t="shared" ref="O104:V104" si="95">N104</f>
        <v>0.13</v>
      </c>
      <c r="P104" s="40">
        <f t="shared" si="95"/>
        <v>0.13</v>
      </c>
      <c r="Q104" s="40">
        <f t="shared" si="95"/>
        <v>0.13</v>
      </c>
      <c r="R104" s="40">
        <f t="shared" si="95"/>
        <v>0.13</v>
      </c>
      <c r="S104" s="40">
        <f t="shared" si="95"/>
        <v>0.13</v>
      </c>
      <c r="T104" s="40">
        <f t="shared" si="95"/>
        <v>0.13</v>
      </c>
      <c r="U104" s="40">
        <f t="shared" si="95"/>
        <v>0.13</v>
      </c>
      <c r="V104" s="40">
        <f t="shared" si="95"/>
        <v>0.13</v>
      </c>
    </row>
    <row r="105" spans="2:22" x14ac:dyDescent="0.25">
      <c r="J105" s="15"/>
      <c r="K105" s="15"/>
      <c r="L105" s="15"/>
    </row>
    <row r="106" spans="2:22" x14ac:dyDescent="0.25">
      <c r="B106" s="18" t="s">
        <v>126</v>
      </c>
      <c r="J106" s="15"/>
      <c r="K106" s="15"/>
      <c r="L106" s="15"/>
    </row>
    <row r="107" spans="2:22" s="71" customFormat="1" x14ac:dyDescent="0.25">
      <c r="C107" s="71" t="s">
        <v>120</v>
      </c>
      <c r="E107" s="71" t="s">
        <v>37</v>
      </c>
      <c r="G107" s="72">
        <f>G91</f>
        <v>162528958</v>
      </c>
      <c r="H107" s="72">
        <f>H91</f>
        <v>255306097</v>
      </c>
      <c r="I107" s="72">
        <f>I91</f>
        <v>415303606</v>
      </c>
      <c r="J107" s="15"/>
      <c r="K107" s="15"/>
      <c r="L107" s="13">
        <f>I107</f>
        <v>415303606</v>
      </c>
      <c r="M107" s="72">
        <f t="shared" ref="M107:V107" si="96">M91</f>
        <v>421468052.70657706</v>
      </c>
      <c r="N107" s="72">
        <f t="shared" si="96"/>
        <v>475513202.9105342</v>
      </c>
      <c r="O107" s="72">
        <f t="shared" si="96"/>
        <v>540345820.19093001</v>
      </c>
      <c r="P107" s="72">
        <f t="shared" si="96"/>
        <v>618059073.64686775</v>
      </c>
      <c r="Q107" s="72">
        <f t="shared" si="96"/>
        <v>711148063.31605458</v>
      </c>
      <c r="R107" s="72">
        <f t="shared" si="96"/>
        <v>822586693.6284132</v>
      </c>
      <c r="S107" s="72">
        <f t="shared" si="96"/>
        <v>955919227.37201095</v>
      </c>
      <c r="T107" s="72">
        <f t="shared" si="96"/>
        <v>1115369322.0673983</v>
      </c>
      <c r="U107" s="72">
        <f t="shared" si="96"/>
        <v>1305969885.290797</v>
      </c>
      <c r="V107" s="72">
        <f t="shared" si="96"/>
        <v>1533717722.1402941</v>
      </c>
    </row>
    <row r="108" spans="2:22" s="71" customFormat="1" x14ac:dyDescent="0.25">
      <c r="C108" s="73" t="s">
        <v>194</v>
      </c>
      <c r="G108" s="72"/>
      <c r="H108" s="72"/>
      <c r="I108" s="72"/>
      <c r="J108" s="15"/>
      <c r="K108" s="15"/>
      <c r="L108" s="15"/>
    </row>
    <row r="109" spans="2:22" s="71" customFormat="1" x14ac:dyDescent="0.25">
      <c r="D109" s="71" t="s">
        <v>121</v>
      </c>
      <c r="E109" s="71" t="s">
        <v>37</v>
      </c>
      <c r="G109" s="74">
        <v>0</v>
      </c>
      <c r="H109" s="74">
        <v>0</v>
      </c>
      <c r="I109" s="74">
        <v>5217191</v>
      </c>
      <c r="J109" s="15"/>
      <c r="K109" s="32"/>
      <c r="L109" s="13">
        <f t="shared" ref="L109:L115" si="97">I109</f>
        <v>5217191</v>
      </c>
      <c r="M109" s="72">
        <v>0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>
        <v>0</v>
      </c>
      <c r="V109" s="72">
        <v>0</v>
      </c>
    </row>
    <row r="110" spans="2:22" s="71" customFormat="1" x14ac:dyDescent="0.25">
      <c r="D110" s="71" t="s">
        <v>122</v>
      </c>
      <c r="E110" s="71" t="s">
        <v>37</v>
      </c>
      <c r="G110" s="74">
        <v>0</v>
      </c>
      <c r="H110" s="74">
        <v>736927</v>
      </c>
      <c r="I110" s="74">
        <v>21178647</v>
      </c>
      <c r="J110" s="15"/>
      <c r="K110" s="32"/>
      <c r="L110" s="13">
        <f t="shared" si="97"/>
        <v>21178647</v>
      </c>
      <c r="M110" s="72">
        <v>0</v>
      </c>
      <c r="N110" s="72">
        <v>0</v>
      </c>
      <c r="O110" s="72">
        <v>0</v>
      </c>
      <c r="P110" s="72">
        <v>0</v>
      </c>
      <c r="Q110" s="72">
        <v>0</v>
      </c>
      <c r="R110" s="72">
        <v>0</v>
      </c>
      <c r="S110" s="72">
        <v>0</v>
      </c>
      <c r="T110" s="72">
        <v>0</v>
      </c>
      <c r="U110" s="72">
        <v>0</v>
      </c>
      <c r="V110" s="72">
        <v>0</v>
      </c>
    </row>
    <row r="111" spans="2:22" s="71" customFormat="1" x14ac:dyDescent="0.25">
      <c r="D111" s="71" t="s">
        <v>123</v>
      </c>
      <c r="E111" s="71" t="s">
        <v>37</v>
      </c>
      <c r="G111" s="152">
        <f>182860860-SUM(G107:G110,G112:G115)</f>
        <v>16559123</v>
      </c>
      <c r="H111" s="74">
        <v>26166101</v>
      </c>
      <c r="I111" s="74">
        <v>23924639</v>
      </c>
      <c r="J111" s="15"/>
      <c r="K111" s="15"/>
      <c r="L111" s="13">
        <f t="shared" si="97"/>
        <v>23924639</v>
      </c>
      <c r="M111" s="72">
        <f>M100*M77</f>
        <v>34095365.72114671</v>
      </c>
      <c r="N111" s="72">
        <f t="shared" ref="N111:V111" si="98">N100*N77</f>
        <v>38467438.882623285</v>
      </c>
      <c r="O111" s="72">
        <f t="shared" si="98"/>
        <v>43712182.304192074</v>
      </c>
      <c r="P111" s="72">
        <f t="shared" si="98"/>
        <v>49998926.414320506</v>
      </c>
      <c r="Q111" s="72">
        <f t="shared" si="98"/>
        <v>57529516.519551113</v>
      </c>
      <c r="R111" s="72">
        <f t="shared" si="98"/>
        <v>66544531.611593574</v>
      </c>
      <c r="S111" s="72">
        <f t="shared" si="98"/>
        <v>77330690.779107034</v>
      </c>
      <c r="T111" s="72">
        <f t="shared" si="98"/>
        <v>90229673.888262287</v>
      </c>
      <c r="U111" s="72">
        <f t="shared" si="98"/>
        <v>105648626.44712351</v>
      </c>
      <c r="V111" s="72">
        <f t="shared" si="98"/>
        <v>124072670.07206155</v>
      </c>
    </row>
    <row r="112" spans="2:22" s="71" customFormat="1" x14ac:dyDescent="0.25">
      <c r="C112" s="71" t="s">
        <v>195</v>
      </c>
      <c r="E112" s="71" t="s">
        <v>37</v>
      </c>
      <c r="G112" s="72">
        <f>-G74</f>
        <v>-148004255</v>
      </c>
      <c r="H112" s="72">
        <f>-H74</f>
        <v>-140367051</v>
      </c>
      <c r="I112" s="72">
        <f>-I74</f>
        <v>-232429343</v>
      </c>
      <c r="J112" s="15"/>
      <c r="K112" s="15"/>
      <c r="L112" s="13">
        <f t="shared" si="97"/>
        <v>-232429343</v>
      </c>
      <c r="M112" s="72">
        <f t="shared" ref="M112:V112" si="99">-M74</f>
        <v>-368813770.94385803</v>
      </c>
      <c r="N112" s="72">
        <f t="shared" si="99"/>
        <v>-368813770.94385803</v>
      </c>
      <c r="O112" s="72">
        <f t="shared" si="99"/>
        <v>-368813770.94385803</v>
      </c>
      <c r="P112" s="72">
        <f t="shared" si="99"/>
        <v>-368813770.94385803</v>
      </c>
      <c r="Q112" s="72">
        <f t="shared" si="99"/>
        <v>-368813770.94385803</v>
      </c>
      <c r="R112" s="72">
        <f t="shared" si="99"/>
        <v>-368813770.94385803</v>
      </c>
      <c r="S112" s="72">
        <f t="shared" si="99"/>
        <v>-368813770.94385803</v>
      </c>
      <c r="T112" s="72">
        <f t="shared" si="99"/>
        <v>-368813770.94385803</v>
      </c>
      <c r="U112" s="72">
        <f t="shared" si="99"/>
        <v>-368813770.94385803</v>
      </c>
      <c r="V112" s="72">
        <f t="shared" si="99"/>
        <v>-368813770.94385803</v>
      </c>
    </row>
    <row r="113" spans="3:22" s="71" customFormat="1" x14ac:dyDescent="0.25">
      <c r="C113" s="71" t="s">
        <v>127</v>
      </c>
      <c r="E113" s="71" t="s">
        <v>37</v>
      </c>
      <c r="G113" s="72">
        <f>-G73</f>
        <v>0</v>
      </c>
      <c r="H113" s="72">
        <f>-H73</f>
        <v>0</v>
      </c>
      <c r="I113" s="72">
        <f>-I73</f>
        <v>-1249616</v>
      </c>
      <c r="J113" s="13"/>
      <c r="K113" s="15"/>
      <c r="L113" s="13">
        <f t="shared" si="97"/>
        <v>-1249616</v>
      </c>
      <c r="M113" s="72">
        <f t="shared" ref="M113:V113" si="100">-M73</f>
        <v>0</v>
      </c>
      <c r="N113" s="72">
        <f t="shared" si="100"/>
        <v>0</v>
      </c>
      <c r="O113" s="72">
        <f t="shared" si="100"/>
        <v>0</v>
      </c>
      <c r="P113" s="72">
        <f t="shared" si="100"/>
        <v>0</v>
      </c>
      <c r="Q113" s="72">
        <f t="shared" si="100"/>
        <v>0</v>
      </c>
      <c r="R113" s="72">
        <f t="shared" si="100"/>
        <v>0</v>
      </c>
      <c r="S113" s="72">
        <f t="shared" si="100"/>
        <v>0</v>
      </c>
      <c r="T113" s="72">
        <f t="shared" si="100"/>
        <v>0</v>
      </c>
      <c r="U113" s="72">
        <f t="shared" si="100"/>
        <v>0</v>
      </c>
      <c r="V113" s="72">
        <f t="shared" si="100"/>
        <v>0</v>
      </c>
    </row>
    <row r="114" spans="3:22" s="71" customFormat="1" x14ac:dyDescent="0.25">
      <c r="C114" s="71" t="s">
        <v>196</v>
      </c>
      <c r="E114" s="71" t="s">
        <v>37</v>
      </c>
      <c r="F114" s="75"/>
      <c r="G114" s="76">
        <f>-G86</f>
        <v>130646575</v>
      </c>
      <c r="H114" s="76">
        <f>-H86</f>
        <v>117296333</v>
      </c>
      <c r="I114" s="76">
        <f>-I86</f>
        <v>57168076</v>
      </c>
      <c r="J114" s="32"/>
      <c r="K114" s="15"/>
      <c r="L114" s="13">
        <f t="shared" si="97"/>
        <v>57168076</v>
      </c>
      <c r="M114" s="76">
        <f t="shared" ref="M114:V114" si="101">-M86</f>
        <v>194226813.22293225</v>
      </c>
      <c r="N114" s="76">
        <f t="shared" si="101"/>
        <v>219132656.56469846</v>
      </c>
      <c r="O114" s="76">
        <f t="shared" si="101"/>
        <v>249009731.62746698</v>
      </c>
      <c r="P114" s="76">
        <f t="shared" si="101"/>
        <v>284822641.92280835</v>
      </c>
      <c r="Q114" s="76">
        <f t="shared" si="101"/>
        <v>327721214.40886098</v>
      </c>
      <c r="R114" s="76">
        <f t="shared" si="101"/>
        <v>379075925.39229715</v>
      </c>
      <c r="S114" s="76">
        <f t="shared" si="101"/>
        <v>440520091.70966017</v>
      </c>
      <c r="T114" s="76">
        <f t="shared" si="101"/>
        <v>514000118.39709336</v>
      </c>
      <c r="U114" s="76">
        <f t="shared" si="101"/>
        <v>601835340.4397701</v>
      </c>
      <c r="V114" s="76">
        <f t="shared" si="101"/>
        <v>706789289.58402491</v>
      </c>
    </row>
    <row r="115" spans="3:22" s="71" customFormat="1" x14ac:dyDescent="0.25">
      <c r="C115" s="71" t="s">
        <v>131</v>
      </c>
      <c r="E115" s="71" t="s">
        <v>37</v>
      </c>
      <c r="G115" s="77">
        <f>-(G90--73579346)</f>
        <v>21130459</v>
      </c>
      <c r="H115" s="77">
        <f>-(H90--110024342)</f>
        <v>-21840207</v>
      </c>
      <c r="I115" s="77">
        <f>-(I90--91409349)</f>
        <v>66798669</v>
      </c>
      <c r="J115" s="32"/>
      <c r="K115" s="15"/>
      <c r="L115" s="13">
        <f t="shared" si="97"/>
        <v>66798669</v>
      </c>
      <c r="M115" s="72">
        <v>0</v>
      </c>
      <c r="N115" s="72">
        <v>0</v>
      </c>
      <c r="O115" s="72">
        <v>0</v>
      </c>
      <c r="P115" s="72">
        <v>0</v>
      </c>
      <c r="Q115" s="72">
        <v>0</v>
      </c>
      <c r="R115" s="72">
        <v>0</v>
      </c>
      <c r="S115" s="72">
        <v>0</v>
      </c>
      <c r="T115" s="72">
        <v>0</v>
      </c>
      <c r="U115" s="72">
        <v>0</v>
      </c>
      <c r="V115" s="72">
        <v>0</v>
      </c>
    </row>
    <row r="116" spans="3:22" s="71" customFormat="1" x14ac:dyDescent="0.25">
      <c r="G116" s="72"/>
      <c r="H116" s="72"/>
      <c r="I116" s="72"/>
      <c r="J116" s="15"/>
      <c r="K116" s="15"/>
      <c r="L116" s="15"/>
    </row>
    <row r="117" spans="3:22" s="71" customFormat="1" x14ac:dyDescent="0.25">
      <c r="C117" s="73" t="s">
        <v>137</v>
      </c>
      <c r="E117" s="71" t="s">
        <v>37</v>
      </c>
      <c r="G117" s="78">
        <f>SUM(G118:G123)</f>
        <v>-48179603</v>
      </c>
      <c r="H117" s="78">
        <f>SUM(H118:H123)</f>
        <v>-192339017</v>
      </c>
      <c r="I117" s="78">
        <f>SUM(I118:I123)</f>
        <v>-468879528</v>
      </c>
      <c r="J117" s="15"/>
      <c r="K117" s="15"/>
      <c r="L117" s="16">
        <f>I117</f>
        <v>-468879528</v>
      </c>
      <c r="M117" s="78">
        <f>SUM(M118:M123)</f>
        <v>-740481802.61037183</v>
      </c>
      <c r="N117" s="78">
        <f t="shared" ref="N117:V117" si="102">SUM(N118:N123)</f>
        <v>-841908581.66753268</v>
      </c>
      <c r="O117" s="78">
        <f t="shared" si="102"/>
        <v>-1050564121.2639129</v>
      </c>
      <c r="P117" s="78">
        <f t="shared" si="102"/>
        <v>-1302562898.3909576</v>
      </c>
      <c r="Q117" s="78">
        <f t="shared" si="102"/>
        <v>-1606434356.0476079</v>
      </c>
      <c r="R117" s="78">
        <f t="shared" si="102"/>
        <v>-1972354391.0994611</v>
      </c>
      <c r="S117" s="78">
        <f t="shared" si="102"/>
        <v>-2412460886.4244719</v>
      </c>
      <c r="T117" s="78">
        <f t="shared" si="102"/>
        <v>-2941229546.4891925</v>
      </c>
      <c r="U117" s="78">
        <f t="shared" si="102"/>
        <v>-3575921549.1635056</v>
      </c>
      <c r="V117" s="78">
        <f t="shared" si="102"/>
        <v>-4337116723.6506853</v>
      </c>
    </row>
    <row r="118" spans="3:22" s="71" customFormat="1" x14ac:dyDescent="0.25">
      <c r="C118" s="71" t="s">
        <v>128</v>
      </c>
      <c r="E118" s="71" t="s">
        <v>37</v>
      </c>
      <c r="G118" s="74">
        <v>-362736631</v>
      </c>
      <c r="H118" s="74">
        <v>-456540633</v>
      </c>
      <c r="I118" s="74">
        <v>-927682894</v>
      </c>
      <c r="J118" s="15"/>
      <c r="K118" s="15"/>
      <c r="L118" s="13">
        <f t="shared" ref="L118:L150" si="103">I118</f>
        <v>-927682894</v>
      </c>
      <c r="M118" s="72">
        <f t="shared" ref="M118:V118" si="104">L21-M21</f>
        <v>-1043775253.4845848</v>
      </c>
      <c r="N118" s="72">
        <f t="shared" si="104"/>
        <v>-1242915256.6104403</v>
      </c>
      <c r="O118" s="72">
        <f t="shared" si="104"/>
        <v>-1480048822.7304106</v>
      </c>
      <c r="P118" s="72">
        <f t="shared" si="104"/>
        <v>-1762424675.3873787</v>
      </c>
      <c r="Q118" s="72">
        <f t="shared" si="104"/>
        <v>-2098674509.0503578</v>
      </c>
      <c r="R118" s="72">
        <f t="shared" si="104"/>
        <v>-2499076843.6498833</v>
      </c>
      <c r="S118" s="72">
        <f t="shared" si="104"/>
        <v>-2975871219.445591</v>
      </c>
      <c r="T118" s="72">
        <f t="shared" si="104"/>
        <v>-3543632336.5674286</v>
      </c>
      <c r="U118" s="72">
        <f t="shared" si="104"/>
        <v>-4219715575.9669533</v>
      </c>
      <c r="V118" s="72">
        <f t="shared" si="104"/>
        <v>-5024787520.509552</v>
      </c>
    </row>
    <row r="119" spans="3:22" s="71" customFormat="1" x14ac:dyDescent="0.25">
      <c r="C119" s="71" t="s">
        <v>129</v>
      </c>
      <c r="E119" s="71" t="s">
        <v>37</v>
      </c>
      <c r="G119" s="74">
        <v>-45080317</v>
      </c>
      <c r="H119" s="74">
        <v>-96587719</v>
      </c>
      <c r="I119" s="74">
        <v>50079475</v>
      </c>
      <c r="J119" s="15"/>
      <c r="K119" s="15"/>
      <c r="L119" s="13">
        <f t="shared" si="103"/>
        <v>50079475</v>
      </c>
      <c r="M119" s="72">
        <f t="shared" ref="M119:V119" si="105">L22-M22</f>
        <v>-136127414.6391167</v>
      </c>
      <c r="N119" s="72">
        <f t="shared" si="105"/>
        <v>-37702521.531434596</v>
      </c>
      <c r="O119" s="72">
        <f t="shared" si="105"/>
        <v>-45227983.264526427</v>
      </c>
      <c r="P119" s="72">
        <f t="shared" si="105"/>
        <v>-54213663.957692385</v>
      </c>
      <c r="Q119" s="72">
        <f t="shared" si="105"/>
        <v>-64939955.279928744</v>
      </c>
      <c r="R119" s="72">
        <f t="shared" si="105"/>
        <v>-77740876.710111737</v>
      </c>
      <c r="S119" s="72">
        <f t="shared" si="105"/>
        <v>-93014316.832089543</v>
      </c>
      <c r="T119" s="72">
        <f t="shared" si="105"/>
        <v>-111234229.26488531</v>
      </c>
      <c r="U119" s="72">
        <f t="shared" si="105"/>
        <v>-132965156.20207524</v>
      </c>
      <c r="V119" s="72">
        <f t="shared" si="105"/>
        <v>-158879523.69733906</v>
      </c>
    </row>
    <row r="120" spans="3:22" s="71" customFormat="1" x14ac:dyDescent="0.25">
      <c r="C120" s="71" t="s">
        <v>130</v>
      </c>
      <c r="E120" s="71" t="s">
        <v>37</v>
      </c>
      <c r="G120" s="74">
        <v>-36390</v>
      </c>
      <c r="H120" s="74">
        <v>-236813</v>
      </c>
      <c r="I120" s="74">
        <v>-304319</v>
      </c>
      <c r="J120" s="15"/>
      <c r="K120" s="15"/>
      <c r="L120" s="13">
        <f t="shared" si="103"/>
        <v>-304319</v>
      </c>
      <c r="M120" s="72">
        <f t="shared" ref="M120:V120" si="106">L23-M23</f>
        <v>-609482.61368936626</v>
      </c>
      <c r="N120" s="72">
        <f t="shared" si="106"/>
        <v>-313651.1279215347</v>
      </c>
      <c r="O120" s="72">
        <f t="shared" si="106"/>
        <v>-376256.21280283667</v>
      </c>
      <c r="P120" s="72">
        <f t="shared" si="106"/>
        <v>-451009.00837393571</v>
      </c>
      <c r="Q120" s="72">
        <f t="shared" si="106"/>
        <v>-540242.12157113617</v>
      </c>
      <c r="R120" s="72">
        <f t="shared" si="106"/>
        <v>-646734.29455920216</v>
      </c>
      <c r="S120" s="72">
        <f t="shared" si="106"/>
        <v>-773795.60311136954</v>
      </c>
      <c r="T120" s="72">
        <f t="shared" si="106"/>
        <v>-925368.91579851694</v>
      </c>
      <c r="U120" s="72">
        <f t="shared" si="106"/>
        <v>-1106150.7167968201</v>
      </c>
      <c r="V120" s="72">
        <f t="shared" si="106"/>
        <v>-1321734.9871349689</v>
      </c>
    </row>
    <row r="121" spans="3:22" s="71" customFormat="1" x14ac:dyDescent="0.25">
      <c r="C121" s="71" t="s">
        <v>197</v>
      </c>
      <c r="E121" s="71" t="s">
        <v>37</v>
      </c>
      <c r="G121" s="74">
        <v>0</v>
      </c>
      <c r="H121" s="74">
        <v>0</v>
      </c>
      <c r="I121" s="74">
        <v>-8188154</v>
      </c>
      <c r="J121" s="15"/>
      <c r="K121" s="15"/>
      <c r="L121" s="13">
        <f t="shared" si="103"/>
        <v>-8188154</v>
      </c>
      <c r="M121" s="72">
        <f t="shared" ref="M121:V121" si="107">L26-M26</f>
        <v>-978256.52372347377</v>
      </c>
      <c r="N121" s="72">
        <f t="shared" si="107"/>
        <v>-1592906.3861554451</v>
      </c>
      <c r="O121" s="72">
        <f t="shared" si="107"/>
        <v>-1910852.1247028206</v>
      </c>
      <c r="P121" s="72">
        <f t="shared" si="107"/>
        <v>-2290491.1403098814</v>
      </c>
      <c r="Q121" s="72">
        <f t="shared" si="107"/>
        <v>-2743669.7939632833</v>
      </c>
      <c r="R121" s="72">
        <f t="shared" si="107"/>
        <v>-3284500.1858460046</v>
      </c>
      <c r="S121" s="72">
        <f t="shared" si="107"/>
        <v>-3929792.8432237543</v>
      </c>
      <c r="T121" s="72">
        <f t="shared" si="107"/>
        <v>-4699571.9903610572</v>
      </c>
      <c r="U121" s="72">
        <f t="shared" si="107"/>
        <v>-5617689.1583723947</v>
      </c>
      <c r="V121" s="72">
        <f t="shared" si="107"/>
        <v>-6712553.8995003328</v>
      </c>
    </row>
    <row r="122" spans="3:22" s="71" customFormat="1" x14ac:dyDescent="0.25">
      <c r="C122" s="71" t="s">
        <v>133</v>
      </c>
      <c r="E122" s="71" t="s">
        <v>37</v>
      </c>
      <c r="G122" s="74">
        <v>33734683</v>
      </c>
      <c r="H122" s="74">
        <v>19963724</v>
      </c>
      <c r="I122" s="74">
        <v>62205707</v>
      </c>
      <c r="J122" s="15"/>
      <c r="K122" s="15"/>
      <c r="L122" s="13">
        <f t="shared" si="103"/>
        <v>62205707</v>
      </c>
      <c r="M122" s="72">
        <f t="shared" ref="M122:V122" si="108">M31-L31</f>
        <v>59874597.443059057</v>
      </c>
      <c r="N122" s="72">
        <f t="shared" si="108"/>
        <v>31436117.867843181</v>
      </c>
      <c r="O122" s="72">
        <f t="shared" si="108"/>
        <v>37710799.041466415</v>
      </c>
      <c r="P122" s="72">
        <f t="shared" si="108"/>
        <v>45203001.311218083</v>
      </c>
      <c r="Q122" s="72">
        <f t="shared" si="108"/>
        <v>54146513.431740344</v>
      </c>
      <c r="R122" s="72">
        <f t="shared" si="108"/>
        <v>64819838.677658617</v>
      </c>
      <c r="S122" s="72">
        <f t="shared" si="108"/>
        <v>77554733.968988657</v>
      </c>
      <c r="T122" s="72">
        <f t="shared" si="108"/>
        <v>92746378.758624434</v>
      </c>
      <c r="U122" s="72">
        <f t="shared" si="108"/>
        <v>110865484.6652528</v>
      </c>
      <c r="V122" s="72">
        <f t="shared" si="108"/>
        <v>132472716.17024648</v>
      </c>
    </row>
    <row r="123" spans="3:22" s="71" customFormat="1" x14ac:dyDescent="0.25">
      <c r="C123" s="71" t="s">
        <v>134</v>
      </c>
      <c r="E123" s="71" t="s">
        <v>37</v>
      </c>
      <c r="G123" s="74">
        <v>325939052</v>
      </c>
      <c r="H123" s="74">
        <v>341062424</v>
      </c>
      <c r="I123" s="74">
        <v>355010657</v>
      </c>
      <c r="J123" s="15"/>
      <c r="K123" s="15"/>
      <c r="L123" s="13">
        <f t="shared" si="103"/>
        <v>355010657</v>
      </c>
      <c r="M123" s="72">
        <f t="shared" ref="M123:V123" si="109">M33-L33</f>
        <v>381134007.20768356</v>
      </c>
      <c r="N123" s="72">
        <f t="shared" si="109"/>
        <v>409179636.1205759</v>
      </c>
      <c r="O123" s="72">
        <f t="shared" si="109"/>
        <v>439288994.02706337</v>
      </c>
      <c r="P123" s="72">
        <f t="shared" si="109"/>
        <v>471613939.79157925</v>
      </c>
      <c r="Q123" s="72">
        <f t="shared" si="109"/>
        <v>506317506.76647282</v>
      </c>
      <c r="R123" s="72">
        <f t="shared" si="109"/>
        <v>543574725.06328011</v>
      </c>
      <c r="S123" s="72">
        <f t="shared" si="109"/>
        <v>583573504.33055496</v>
      </c>
      <c r="T123" s="72">
        <f t="shared" si="109"/>
        <v>626515581.49065685</v>
      </c>
      <c r="U123" s="72">
        <f t="shared" si="109"/>
        <v>672617538.21543884</v>
      </c>
      <c r="V123" s="72">
        <f t="shared" si="109"/>
        <v>722111893.27259445</v>
      </c>
    </row>
    <row r="124" spans="3:22" s="71" customFormat="1" x14ac:dyDescent="0.25">
      <c r="G124" s="74"/>
      <c r="H124" s="74"/>
      <c r="I124" s="74"/>
      <c r="J124" s="15"/>
      <c r="K124" s="15"/>
      <c r="L124" s="13"/>
      <c r="M124" s="72"/>
      <c r="N124" s="72"/>
      <c r="O124" s="72"/>
      <c r="P124" s="72"/>
      <c r="Q124" s="72"/>
      <c r="R124" s="72"/>
      <c r="S124" s="72"/>
      <c r="T124" s="72"/>
      <c r="U124" s="72"/>
      <c r="V124" s="72"/>
    </row>
    <row r="125" spans="3:22" s="73" customFormat="1" x14ac:dyDescent="0.25">
      <c r="C125" s="55" t="s">
        <v>132</v>
      </c>
      <c r="D125" s="55"/>
      <c r="E125" s="55" t="s">
        <v>37</v>
      </c>
      <c r="F125" s="55"/>
      <c r="G125" s="79">
        <f>SUM(G107:G117)</f>
        <v>134681257</v>
      </c>
      <c r="H125" s="79">
        <f>SUM(H107:H117)</f>
        <v>44959183</v>
      </c>
      <c r="I125" s="79">
        <f>SUM(I107:I117)</f>
        <v>-112967659</v>
      </c>
      <c r="J125" s="38"/>
      <c r="K125" s="38"/>
      <c r="L125" s="61">
        <f>I125</f>
        <v>-112967659</v>
      </c>
      <c r="M125" s="79">
        <f t="shared" ref="M125:V125" si="110">SUM(M107:M117)</f>
        <v>-459505341.90357387</v>
      </c>
      <c r="N125" s="79">
        <f t="shared" si="110"/>
        <v>-477609054.25353479</v>
      </c>
      <c r="O125" s="79">
        <f t="shared" si="110"/>
        <v>-586310158.08518195</v>
      </c>
      <c r="P125" s="79">
        <f t="shared" si="110"/>
        <v>-718496027.35081911</v>
      </c>
      <c r="Q125" s="79">
        <f t="shared" si="110"/>
        <v>-878849332.74699926</v>
      </c>
      <c r="R125" s="79">
        <f t="shared" si="110"/>
        <v>-1072961011.4110152</v>
      </c>
      <c r="S125" s="79">
        <f t="shared" si="110"/>
        <v>-1307504647.5075517</v>
      </c>
      <c r="T125" s="79">
        <f t="shared" si="110"/>
        <v>-1590444203.0802965</v>
      </c>
      <c r="U125" s="79">
        <f t="shared" si="110"/>
        <v>-1931281467.929673</v>
      </c>
      <c r="V125" s="79">
        <f t="shared" si="110"/>
        <v>-2341350812.7981629</v>
      </c>
    </row>
    <row r="126" spans="3:22" s="73" customFormat="1" x14ac:dyDescent="0.25">
      <c r="C126" s="73" t="s">
        <v>135</v>
      </c>
      <c r="E126" s="73" t="s">
        <v>37</v>
      </c>
      <c r="G126" s="133">
        <f>G125</f>
        <v>134681257</v>
      </c>
      <c r="H126" s="80">
        <v>44212257</v>
      </c>
      <c r="I126" s="80">
        <v>-112967659</v>
      </c>
      <c r="J126" s="34"/>
      <c r="K126" s="34"/>
      <c r="L126" s="13">
        <f t="shared" si="103"/>
        <v>-112967659</v>
      </c>
    </row>
    <row r="127" spans="3:22" s="73" customFormat="1" x14ac:dyDescent="0.25">
      <c r="C127" s="73" t="s">
        <v>136</v>
      </c>
      <c r="G127" s="78">
        <f>G126-G125</f>
        <v>0</v>
      </c>
      <c r="H127" s="78">
        <f>H126-H125</f>
        <v>-746926</v>
      </c>
      <c r="I127" s="78">
        <f>I126-I125</f>
        <v>0</v>
      </c>
      <c r="J127" s="34"/>
      <c r="K127" s="34"/>
      <c r="L127" s="13">
        <f>L126-L125</f>
        <v>0</v>
      </c>
    </row>
    <row r="128" spans="3:22" s="71" customFormat="1" x14ac:dyDescent="0.25">
      <c r="F128" s="75"/>
      <c r="G128" s="72"/>
      <c r="H128" s="72"/>
      <c r="I128" s="72"/>
      <c r="J128" s="15"/>
      <c r="K128" s="15"/>
      <c r="L128" s="13"/>
    </row>
    <row r="129" spans="2:22" s="71" customFormat="1" x14ac:dyDescent="0.25">
      <c r="B129" s="73" t="s">
        <v>124</v>
      </c>
      <c r="G129" s="72"/>
      <c r="H129" s="72"/>
      <c r="I129" s="72"/>
      <c r="J129" s="15"/>
      <c r="K129" s="15"/>
      <c r="L129" s="13"/>
    </row>
    <row r="130" spans="2:22" s="71" customFormat="1" x14ac:dyDescent="0.25">
      <c r="D130" s="71" t="s">
        <v>138</v>
      </c>
      <c r="E130" s="71" t="s">
        <v>37</v>
      </c>
      <c r="F130" s="75"/>
      <c r="G130" s="72">
        <f>G74</f>
        <v>148004255</v>
      </c>
      <c r="H130" s="72">
        <f>H74</f>
        <v>140367051</v>
      </c>
      <c r="I130" s="72">
        <f>I74</f>
        <v>232429343</v>
      </c>
      <c r="J130" s="15"/>
      <c r="K130" s="15"/>
      <c r="L130" s="13">
        <f t="shared" si="103"/>
        <v>232429343</v>
      </c>
      <c r="M130" s="72">
        <f t="shared" ref="M130:V130" si="111">M74</f>
        <v>368813770.94385803</v>
      </c>
      <c r="N130" s="72">
        <f t="shared" si="111"/>
        <v>368813770.94385803</v>
      </c>
      <c r="O130" s="72">
        <f t="shared" si="111"/>
        <v>368813770.94385803</v>
      </c>
      <c r="P130" s="72">
        <f t="shared" si="111"/>
        <v>368813770.94385803</v>
      </c>
      <c r="Q130" s="72">
        <f t="shared" si="111"/>
        <v>368813770.94385803</v>
      </c>
      <c r="R130" s="72">
        <f t="shared" si="111"/>
        <v>368813770.94385803</v>
      </c>
      <c r="S130" s="72">
        <f t="shared" si="111"/>
        <v>368813770.94385803</v>
      </c>
      <c r="T130" s="72">
        <f t="shared" si="111"/>
        <v>368813770.94385803</v>
      </c>
      <c r="U130" s="72">
        <f t="shared" si="111"/>
        <v>368813770.94385803</v>
      </c>
      <c r="V130" s="72">
        <f t="shared" si="111"/>
        <v>368813770.94385803</v>
      </c>
    </row>
    <row r="131" spans="2:22" s="71" customFormat="1" x14ac:dyDescent="0.25">
      <c r="D131" s="71" t="s">
        <v>139</v>
      </c>
      <c r="E131" s="71" t="s">
        <v>37</v>
      </c>
      <c r="G131" s="74">
        <v>-12878136</v>
      </c>
      <c r="H131" s="74">
        <v>-17555554</v>
      </c>
      <c r="I131" s="74">
        <v>-8309281</v>
      </c>
      <c r="J131" s="15"/>
      <c r="K131" s="15"/>
      <c r="L131" s="13">
        <f t="shared" si="103"/>
        <v>-8309281</v>
      </c>
      <c r="M131" s="72">
        <f t="shared" ref="M131:V131" si="112">-M101*M77</f>
        <v>-34095365.72114671</v>
      </c>
      <c r="N131" s="72">
        <f t="shared" si="112"/>
        <v>-38467438.882623285</v>
      </c>
      <c r="O131" s="72">
        <f t="shared" si="112"/>
        <v>-43712182.304192074</v>
      </c>
      <c r="P131" s="72">
        <f t="shared" si="112"/>
        <v>-49998926.414320506</v>
      </c>
      <c r="Q131" s="72">
        <f t="shared" si="112"/>
        <v>-57529516.519551113</v>
      </c>
      <c r="R131" s="72">
        <f t="shared" si="112"/>
        <v>-66544531.611593574</v>
      </c>
      <c r="S131" s="72">
        <f t="shared" si="112"/>
        <v>-77330690.779107034</v>
      </c>
      <c r="T131" s="72">
        <f t="shared" si="112"/>
        <v>-90229673.888262287</v>
      </c>
      <c r="U131" s="72">
        <f t="shared" si="112"/>
        <v>-105648626.44712351</v>
      </c>
      <c r="V131" s="72">
        <f t="shared" si="112"/>
        <v>-124072670.07206155</v>
      </c>
    </row>
    <row r="132" spans="2:22" s="71" customFormat="1" x14ac:dyDescent="0.25">
      <c r="D132" s="71" t="s">
        <v>144</v>
      </c>
      <c r="E132" s="71" t="s">
        <v>37</v>
      </c>
      <c r="G132" s="74">
        <v>-2690570</v>
      </c>
      <c r="H132" s="74">
        <v>0</v>
      </c>
      <c r="I132" s="74">
        <v>19355053</v>
      </c>
      <c r="J132" s="15"/>
      <c r="K132" s="15"/>
      <c r="L132" s="13">
        <f t="shared" si="103"/>
        <v>19355053</v>
      </c>
      <c r="M132" s="72">
        <f t="shared" ref="M132:V132" si="113">L24-M24</f>
        <v>0</v>
      </c>
      <c r="N132" s="72">
        <f t="shared" si="113"/>
        <v>0</v>
      </c>
      <c r="O132" s="72">
        <f t="shared" si="113"/>
        <v>0</v>
      </c>
      <c r="P132" s="72">
        <f t="shared" si="113"/>
        <v>0</v>
      </c>
      <c r="Q132" s="72">
        <f t="shared" si="113"/>
        <v>0</v>
      </c>
      <c r="R132" s="72">
        <f t="shared" si="113"/>
        <v>0</v>
      </c>
      <c r="S132" s="72">
        <f t="shared" si="113"/>
        <v>0</v>
      </c>
      <c r="T132" s="72">
        <f t="shared" si="113"/>
        <v>0</v>
      </c>
      <c r="U132" s="72">
        <f t="shared" si="113"/>
        <v>0</v>
      </c>
      <c r="V132" s="72">
        <f t="shared" si="113"/>
        <v>0</v>
      </c>
    </row>
    <row r="133" spans="2:22" s="71" customFormat="1" x14ac:dyDescent="0.25">
      <c r="D133" s="71" t="s">
        <v>140</v>
      </c>
      <c r="E133" s="71" t="s">
        <v>37</v>
      </c>
      <c r="G133" s="74">
        <v>-2513587</v>
      </c>
      <c r="H133" s="74">
        <v>-29000000</v>
      </c>
      <c r="I133" s="74">
        <v>0</v>
      </c>
      <c r="J133" s="15"/>
      <c r="K133" s="15"/>
      <c r="L133" s="13">
        <f t="shared" si="103"/>
        <v>0</v>
      </c>
      <c r="M133" s="72">
        <f t="shared" ref="M133:V133" si="114">L25-M25</f>
        <v>0</v>
      </c>
      <c r="N133" s="72">
        <f t="shared" si="114"/>
        <v>0</v>
      </c>
      <c r="O133" s="72">
        <f t="shared" si="114"/>
        <v>0</v>
      </c>
      <c r="P133" s="72">
        <f t="shared" si="114"/>
        <v>0</v>
      </c>
      <c r="Q133" s="72">
        <f t="shared" si="114"/>
        <v>0</v>
      </c>
      <c r="R133" s="72">
        <f t="shared" si="114"/>
        <v>0</v>
      </c>
      <c r="S133" s="72">
        <f t="shared" si="114"/>
        <v>0</v>
      </c>
      <c r="T133" s="72">
        <f t="shared" si="114"/>
        <v>0</v>
      </c>
      <c r="U133" s="72">
        <f t="shared" si="114"/>
        <v>0</v>
      </c>
      <c r="V133" s="72">
        <f t="shared" si="114"/>
        <v>0</v>
      </c>
    </row>
    <row r="134" spans="2:22" s="71" customFormat="1" x14ac:dyDescent="0.25">
      <c r="D134" s="71" t="s">
        <v>142</v>
      </c>
      <c r="E134" s="71" t="s">
        <v>37</v>
      </c>
      <c r="G134" s="74">
        <v>0</v>
      </c>
      <c r="H134" s="74">
        <v>0</v>
      </c>
      <c r="I134" s="74">
        <f>-1620665</f>
        <v>-1620665</v>
      </c>
      <c r="J134" s="15"/>
      <c r="K134" s="15"/>
      <c r="L134" s="13">
        <f t="shared" si="103"/>
        <v>-1620665</v>
      </c>
      <c r="M134" s="72">
        <f t="shared" ref="M134:V134" si="115">L27-M27</f>
        <v>0</v>
      </c>
      <c r="N134" s="72">
        <f t="shared" si="115"/>
        <v>0</v>
      </c>
      <c r="O134" s="72">
        <f t="shared" si="115"/>
        <v>0</v>
      </c>
      <c r="P134" s="72">
        <f t="shared" si="115"/>
        <v>0</v>
      </c>
      <c r="Q134" s="72">
        <f t="shared" si="115"/>
        <v>0</v>
      </c>
      <c r="R134" s="72">
        <f t="shared" si="115"/>
        <v>0</v>
      </c>
      <c r="S134" s="72">
        <f t="shared" si="115"/>
        <v>0</v>
      </c>
      <c r="T134" s="72">
        <f t="shared" si="115"/>
        <v>0</v>
      </c>
      <c r="U134" s="72">
        <f t="shared" si="115"/>
        <v>0</v>
      </c>
      <c r="V134" s="72">
        <f t="shared" si="115"/>
        <v>0</v>
      </c>
    </row>
    <row r="135" spans="2:22" s="71" customFormat="1" x14ac:dyDescent="0.25">
      <c r="D135" s="71" t="s">
        <v>143</v>
      </c>
      <c r="E135" s="71" t="s">
        <v>37</v>
      </c>
      <c r="G135" s="74">
        <v>0</v>
      </c>
      <c r="H135" s="74">
        <v>0</v>
      </c>
      <c r="I135" s="74">
        <f>1399999</f>
        <v>1399999</v>
      </c>
      <c r="J135" s="15"/>
      <c r="K135" s="15"/>
      <c r="L135" s="13">
        <f t="shared" si="103"/>
        <v>1399999</v>
      </c>
      <c r="M135" s="74">
        <v>0</v>
      </c>
      <c r="N135" s="74">
        <v>0</v>
      </c>
      <c r="O135" s="74">
        <v>0</v>
      </c>
      <c r="P135" s="74">
        <v>0</v>
      </c>
      <c r="Q135" s="74">
        <v>0</v>
      </c>
      <c r="R135" s="74">
        <v>0</v>
      </c>
      <c r="S135" s="74">
        <v>0</v>
      </c>
      <c r="T135" s="74">
        <v>0</v>
      </c>
      <c r="U135" s="74">
        <v>0</v>
      </c>
      <c r="V135" s="74">
        <v>0</v>
      </c>
    </row>
    <row r="136" spans="2:22" s="71" customFormat="1" x14ac:dyDescent="0.25">
      <c r="C136" s="55" t="s">
        <v>141</v>
      </c>
      <c r="D136" s="55"/>
      <c r="E136" s="55" t="s">
        <v>37</v>
      </c>
      <c r="F136" s="55"/>
      <c r="G136" s="79">
        <f>SUM(G130:G135)</f>
        <v>129921962</v>
      </c>
      <c r="H136" s="79">
        <f>SUM(H130:H135)</f>
        <v>93811497</v>
      </c>
      <c r="I136" s="79">
        <f>SUM(I130:I135)</f>
        <v>243254449</v>
      </c>
      <c r="J136" s="60"/>
      <c r="K136" s="60"/>
      <c r="L136" s="61">
        <f t="shared" si="103"/>
        <v>243254449</v>
      </c>
      <c r="M136" s="79">
        <f t="shared" ref="M136:V136" si="116">SUM(M130:M135)</f>
        <v>334718405.22271132</v>
      </c>
      <c r="N136" s="79">
        <f t="shared" si="116"/>
        <v>330346332.06123471</v>
      </c>
      <c r="O136" s="79">
        <f t="shared" si="116"/>
        <v>325101588.63966596</v>
      </c>
      <c r="P136" s="79">
        <f t="shared" si="116"/>
        <v>318814844.5295375</v>
      </c>
      <c r="Q136" s="79">
        <f t="shared" si="116"/>
        <v>311284254.42430693</v>
      </c>
      <c r="R136" s="79">
        <f t="shared" si="116"/>
        <v>302269239.33226442</v>
      </c>
      <c r="S136" s="79">
        <f t="shared" si="116"/>
        <v>291483080.16475099</v>
      </c>
      <c r="T136" s="79">
        <f t="shared" si="116"/>
        <v>278584097.05559576</v>
      </c>
      <c r="U136" s="79">
        <f t="shared" si="116"/>
        <v>263165144.4967345</v>
      </c>
      <c r="V136" s="79">
        <f t="shared" si="116"/>
        <v>244741100.87179649</v>
      </c>
    </row>
    <row r="137" spans="2:22" s="71" customFormat="1" x14ac:dyDescent="0.25">
      <c r="C137" s="73" t="s">
        <v>171</v>
      </c>
      <c r="D137" s="73"/>
      <c r="E137" s="73" t="s">
        <v>37</v>
      </c>
      <c r="F137" s="73"/>
      <c r="G137" s="133">
        <f>G136</f>
        <v>129921962</v>
      </c>
      <c r="H137" s="80">
        <v>93811497</v>
      </c>
      <c r="I137" s="80">
        <v>243254450</v>
      </c>
      <c r="J137" s="15"/>
      <c r="K137" s="15"/>
      <c r="L137" s="13">
        <f t="shared" si="103"/>
        <v>243254450</v>
      </c>
    </row>
    <row r="138" spans="2:22" s="71" customFormat="1" x14ac:dyDescent="0.25">
      <c r="C138" s="73" t="s">
        <v>136</v>
      </c>
      <c r="D138" s="73"/>
      <c r="E138" s="73"/>
      <c r="F138" s="73"/>
      <c r="G138" s="78">
        <f>G137-G136</f>
        <v>0</v>
      </c>
      <c r="H138" s="78">
        <f>H137-H136</f>
        <v>0</v>
      </c>
      <c r="I138" s="78">
        <f>I137-I136</f>
        <v>1</v>
      </c>
      <c r="J138" s="15"/>
      <c r="K138" s="15"/>
      <c r="L138" s="13">
        <f>L137-L136</f>
        <v>1</v>
      </c>
    </row>
    <row r="139" spans="2:22" s="71" customFormat="1" x14ac:dyDescent="0.25">
      <c r="C139" s="73"/>
      <c r="D139" s="73"/>
      <c r="E139" s="73"/>
      <c r="F139" s="73"/>
      <c r="G139" s="78"/>
      <c r="H139" s="78"/>
      <c r="I139" s="78"/>
      <c r="J139" s="15"/>
      <c r="K139" s="15"/>
      <c r="L139" s="13"/>
    </row>
    <row r="140" spans="2:22" s="71" customFormat="1" x14ac:dyDescent="0.25">
      <c r="B140" s="73" t="s">
        <v>125</v>
      </c>
      <c r="G140" s="72"/>
      <c r="H140" s="72"/>
      <c r="I140" s="72"/>
      <c r="J140" s="15"/>
      <c r="K140" s="15"/>
      <c r="L140" s="13"/>
    </row>
    <row r="141" spans="2:22" s="71" customFormat="1" x14ac:dyDescent="0.25">
      <c r="B141" s="73"/>
      <c r="D141" s="71" t="s">
        <v>145</v>
      </c>
      <c r="E141" s="71" t="s">
        <v>37</v>
      </c>
      <c r="G141" s="74">
        <v>0</v>
      </c>
      <c r="H141" s="74">
        <v>493150844</v>
      </c>
      <c r="I141" s="74">
        <v>-64561984</v>
      </c>
      <c r="J141" s="15"/>
      <c r="K141" s="15"/>
      <c r="L141" s="13">
        <f>I141</f>
        <v>-64561984</v>
      </c>
      <c r="M141" s="72">
        <f>M34-L34</f>
        <v>0</v>
      </c>
      <c r="N141" s="72">
        <f t="shared" ref="N141:V141" si="117">N34-M34</f>
        <v>0</v>
      </c>
      <c r="O141" s="72">
        <f t="shared" si="117"/>
        <v>0</v>
      </c>
      <c r="P141" s="72">
        <f t="shared" si="117"/>
        <v>0</v>
      </c>
      <c r="Q141" s="72">
        <f t="shared" si="117"/>
        <v>0</v>
      </c>
      <c r="R141" s="72">
        <f t="shared" si="117"/>
        <v>0</v>
      </c>
      <c r="S141" s="72">
        <f t="shared" si="117"/>
        <v>0</v>
      </c>
      <c r="T141" s="72">
        <f t="shared" si="117"/>
        <v>0</v>
      </c>
      <c r="U141" s="72">
        <f t="shared" si="117"/>
        <v>0</v>
      </c>
      <c r="V141" s="72">
        <f t="shared" si="117"/>
        <v>0</v>
      </c>
    </row>
    <row r="142" spans="2:22" s="71" customFormat="1" x14ac:dyDescent="0.25">
      <c r="B142" s="73"/>
      <c r="D142" s="71" t="s">
        <v>199</v>
      </c>
      <c r="E142" s="71" t="s">
        <v>37</v>
      </c>
      <c r="G142" s="74">
        <v>-57052303</v>
      </c>
      <c r="H142" s="74">
        <v>-69591894</v>
      </c>
      <c r="I142" s="74">
        <v>-63131192</v>
      </c>
      <c r="J142" s="15"/>
      <c r="K142" s="15"/>
      <c r="L142" s="13">
        <f>I142</f>
        <v>-63131192</v>
      </c>
      <c r="M142" s="72">
        <f>-M104*M107</f>
        <v>-54790846.851855017</v>
      </c>
      <c r="N142" s="72">
        <f t="shared" ref="N142:V142" si="118">-N104*N107</f>
        <v>-61816716.378369451</v>
      </c>
      <c r="O142" s="72">
        <f t="shared" si="118"/>
        <v>-70244956.624820903</v>
      </c>
      <c r="P142" s="72">
        <f t="shared" si="118"/>
        <v>-80347679.574092805</v>
      </c>
      <c r="Q142" s="72">
        <f t="shared" si="118"/>
        <v>-92449248.231087103</v>
      </c>
      <c r="R142" s="72">
        <f t="shared" si="118"/>
        <v>-106936270.17169371</v>
      </c>
      <c r="S142" s="72">
        <f t="shared" si="118"/>
        <v>-124269499.55836143</v>
      </c>
      <c r="T142" s="72">
        <f t="shared" si="118"/>
        <v>-144998011.86876178</v>
      </c>
      <c r="U142" s="72">
        <f t="shared" si="118"/>
        <v>-169776085.0878036</v>
      </c>
      <c r="V142" s="72">
        <f t="shared" si="118"/>
        <v>-199383303.87823823</v>
      </c>
    </row>
    <row r="143" spans="2:22" s="71" customFormat="1" x14ac:dyDescent="0.25">
      <c r="B143" s="73"/>
      <c r="D143" s="71" t="s">
        <v>146</v>
      </c>
      <c r="E143" s="71" t="s">
        <v>37</v>
      </c>
      <c r="G143" s="74">
        <v>26658096</v>
      </c>
      <c r="H143" s="74">
        <v>16871937</v>
      </c>
      <c r="I143" s="74">
        <v>24739794</v>
      </c>
      <c r="J143" s="15"/>
      <c r="K143" s="15"/>
      <c r="L143" s="13">
        <f>I143</f>
        <v>24739794</v>
      </c>
      <c r="M143" s="72">
        <f>L143*(1+M103)</f>
        <v>27708569.280000001</v>
      </c>
      <c r="N143" s="72">
        <f t="shared" ref="N143:V143" si="119">M143*(1+N103)</f>
        <v>31033597.593600005</v>
      </c>
      <c r="O143" s="72">
        <f t="shared" si="119"/>
        <v>34757629.304832011</v>
      </c>
      <c r="P143" s="72">
        <f t="shared" si="119"/>
        <v>38928544.821411856</v>
      </c>
      <c r="Q143" s="72">
        <f t="shared" si="119"/>
        <v>43599970.19998128</v>
      </c>
      <c r="R143" s="72">
        <f t="shared" si="119"/>
        <v>48831966.623979039</v>
      </c>
      <c r="S143" s="72">
        <f t="shared" si="119"/>
        <v>54691802.618856527</v>
      </c>
      <c r="T143" s="72">
        <f t="shared" si="119"/>
        <v>61254818.933119319</v>
      </c>
      <c r="U143" s="72">
        <f t="shared" si="119"/>
        <v>68605397.205093637</v>
      </c>
      <c r="V143" s="72">
        <f t="shared" si="119"/>
        <v>76838044.869704887</v>
      </c>
    </row>
    <row r="144" spans="2:22" s="71" customFormat="1" x14ac:dyDescent="0.25">
      <c r="C144" s="55" t="s">
        <v>173</v>
      </c>
      <c r="D144" s="55"/>
      <c r="E144" s="55" t="s">
        <v>37</v>
      </c>
      <c r="F144" s="55"/>
      <c r="G144" s="79">
        <f>SUM(G141:G143)</f>
        <v>-30394207</v>
      </c>
      <c r="H144" s="79">
        <f>SUM(H141:H143)</f>
        <v>440430887</v>
      </c>
      <c r="I144" s="79">
        <f>SUM(I141:I143)</f>
        <v>-102953382</v>
      </c>
      <c r="J144" s="60"/>
      <c r="K144" s="60"/>
      <c r="L144" s="14">
        <f>I144</f>
        <v>-102953382</v>
      </c>
      <c r="M144" s="79">
        <f t="shared" ref="M144:V144" si="120">SUM(M141:M143)</f>
        <v>-27082277.571855016</v>
      </c>
      <c r="N144" s="79">
        <f t="shared" si="120"/>
        <v>-30783118.784769446</v>
      </c>
      <c r="O144" s="79">
        <f t="shared" si="120"/>
        <v>-35487327.319988891</v>
      </c>
      <c r="P144" s="79">
        <f t="shared" si="120"/>
        <v>-41419134.75268095</v>
      </c>
      <c r="Q144" s="79">
        <f t="shared" si="120"/>
        <v>-48849278.031105824</v>
      </c>
      <c r="R144" s="79">
        <f t="shared" si="120"/>
        <v>-58104303.547714673</v>
      </c>
      <c r="S144" s="79">
        <f t="shared" si="120"/>
        <v>-69577696.939504892</v>
      </c>
      <c r="T144" s="79">
        <f t="shared" si="120"/>
        <v>-83743192.935642451</v>
      </c>
      <c r="U144" s="79">
        <f t="shared" si="120"/>
        <v>-101170687.88270997</v>
      </c>
      <c r="V144" s="79">
        <f t="shared" si="120"/>
        <v>-122545259.00853334</v>
      </c>
    </row>
    <row r="145" spans="2:22" s="71" customFormat="1" x14ac:dyDescent="0.25">
      <c r="C145" s="73" t="s">
        <v>172</v>
      </c>
      <c r="D145" s="73"/>
      <c r="E145" s="73" t="s">
        <v>37</v>
      </c>
      <c r="F145" s="73"/>
      <c r="G145" s="133">
        <f>G144</f>
        <v>-30394207</v>
      </c>
      <c r="H145" s="80">
        <v>440430887</v>
      </c>
      <c r="I145" s="80">
        <f>-102953382</f>
        <v>-102953382</v>
      </c>
      <c r="J145" s="15"/>
      <c r="K145" s="15"/>
      <c r="L145" s="13">
        <f>I145</f>
        <v>-102953382</v>
      </c>
    </row>
    <row r="146" spans="2:22" s="71" customFormat="1" x14ac:dyDescent="0.25">
      <c r="C146" s="73" t="s">
        <v>136</v>
      </c>
      <c r="D146" s="73"/>
      <c r="E146" s="73"/>
      <c r="F146" s="82"/>
      <c r="G146" s="78">
        <f>G145-G144</f>
        <v>0</v>
      </c>
      <c r="H146" s="78">
        <f>H145-H144</f>
        <v>0</v>
      </c>
      <c r="I146" s="78">
        <f>I145-I144</f>
        <v>0</v>
      </c>
      <c r="J146" s="15"/>
      <c r="K146" s="15"/>
      <c r="L146" s="13">
        <f>L145-L144</f>
        <v>0</v>
      </c>
    </row>
    <row r="147" spans="2:22" s="71" customFormat="1" x14ac:dyDescent="0.25">
      <c r="C147" s="73"/>
      <c r="D147" s="73"/>
      <c r="E147" s="73"/>
      <c r="F147" s="73"/>
      <c r="G147" s="154">
        <f>-G142/G91</f>
        <v>0.35102854101851805</v>
      </c>
      <c r="H147" s="154">
        <f t="shared" ref="H147:I147" si="121">-H142/H91</f>
        <v>0.27258218592405964</v>
      </c>
      <c r="I147" s="154">
        <f t="shared" si="121"/>
        <v>0.15201214506189478</v>
      </c>
      <c r="J147" s="15"/>
      <c r="K147" s="15"/>
      <c r="L147" s="13"/>
      <c r="M147" s="154">
        <f t="shared" ref="M147:V147" si="122">-M142/M91</f>
        <v>0.13</v>
      </c>
      <c r="N147" s="154">
        <f t="shared" si="122"/>
        <v>0.13</v>
      </c>
      <c r="O147" s="154">
        <f t="shared" si="122"/>
        <v>0.13</v>
      </c>
      <c r="P147" s="154">
        <f t="shared" si="122"/>
        <v>0.13</v>
      </c>
      <c r="Q147" s="154">
        <f t="shared" si="122"/>
        <v>0.13</v>
      </c>
      <c r="R147" s="154">
        <f t="shared" si="122"/>
        <v>0.13</v>
      </c>
      <c r="S147" s="154">
        <f t="shared" si="122"/>
        <v>0.13</v>
      </c>
      <c r="T147" s="154">
        <f t="shared" si="122"/>
        <v>0.13</v>
      </c>
      <c r="U147" s="154">
        <f t="shared" si="122"/>
        <v>0.13</v>
      </c>
      <c r="V147" s="154">
        <f t="shared" si="122"/>
        <v>0.13</v>
      </c>
    </row>
    <row r="148" spans="2:22" s="71" customFormat="1" x14ac:dyDescent="0.25">
      <c r="C148" s="73" t="s">
        <v>149</v>
      </c>
      <c r="D148" s="73"/>
      <c r="E148" s="73" t="s">
        <v>37</v>
      </c>
      <c r="F148" s="73"/>
      <c r="G148" s="83">
        <f>G125+G136+G144</f>
        <v>234209012</v>
      </c>
      <c r="H148" s="83">
        <f>H125+H136+H144</f>
        <v>579201567</v>
      </c>
      <c r="I148" s="83">
        <f>I125+I136+I144</f>
        <v>27333408</v>
      </c>
      <c r="J148" s="15"/>
      <c r="K148" s="15"/>
      <c r="L148" s="13">
        <f t="shared" si="103"/>
        <v>27333408</v>
      </c>
      <c r="M148" s="83">
        <f t="shared" ref="M148:V148" si="123">M125+M136+M144</f>
        <v>-151869214.25271755</v>
      </c>
      <c r="N148" s="83">
        <f t="shared" si="123"/>
        <v>-178045840.97706953</v>
      </c>
      <c r="O148" s="83">
        <f t="shared" si="123"/>
        <v>-296695896.7655049</v>
      </c>
      <c r="P148" s="83">
        <f t="shared" si="123"/>
        <v>-441100317.57396257</v>
      </c>
      <c r="Q148" s="83">
        <f t="shared" si="123"/>
        <v>-616414356.35379827</v>
      </c>
      <c r="R148" s="83">
        <f t="shared" si="123"/>
        <v>-828796075.62646544</v>
      </c>
      <c r="S148" s="83">
        <f t="shared" si="123"/>
        <v>-1085599264.2823055</v>
      </c>
      <c r="T148" s="83">
        <f t="shared" si="123"/>
        <v>-1395603298.9603431</v>
      </c>
      <c r="U148" s="83">
        <f t="shared" si="123"/>
        <v>-1769287011.3156486</v>
      </c>
      <c r="V148" s="83">
        <f t="shared" si="123"/>
        <v>-2219154970.9348998</v>
      </c>
    </row>
    <row r="149" spans="2:22" s="71" customFormat="1" x14ac:dyDescent="0.25">
      <c r="C149" s="73" t="s">
        <v>150</v>
      </c>
      <c r="D149" s="73"/>
      <c r="E149" s="73" t="s">
        <v>37</v>
      </c>
      <c r="F149" s="73"/>
      <c r="G149" s="76">
        <f>G127+G138+G146</f>
        <v>0</v>
      </c>
      <c r="H149" s="76">
        <f>H127+H138+H146</f>
        <v>-746926</v>
      </c>
      <c r="I149" s="76">
        <f>I127+I138+I146</f>
        <v>1</v>
      </c>
      <c r="J149" s="15"/>
      <c r="K149" s="15"/>
      <c r="L149" s="13">
        <f t="shared" si="103"/>
        <v>1</v>
      </c>
    </row>
    <row r="150" spans="2:22" s="71" customFormat="1" x14ac:dyDescent="0.25">
      <c r="C150" s="73" t="s">
        <v>151</v>
      </c>
      <c r="D150" s="73"/>
      <c r="E150" s="73" t="s">
        <v>37</v>
      </c>
      <c r="F150" s="73"/>
      <c r="G150" s="76">
        <f>G148+G149</f>
        <v>234209012</v>
      </c>
      <c r="H150" s="76">
        <f>H148+H149</f>
        <v>578454641</v>
      </c>
      <c r="I150" s="76">
        <f>I148+I149</f>
        <v>27333409</v>
      </c>
      <c r="J150" s="15"/>
      <c r="K150" s="15"/>
      <c r="L150" s="13">
        <f t="shared" si="103"/>
        <v>27333409</v>
      </c>
    </row>
    <row r="151" spans="2:22" s="71" customFormat="1" x14ac:dyDescent="0.25">
      <c r="C151" s="73"/>
      <c r="D151" s="73"/>
      <c r="E151" s="73"/>
      <c r="F151" s="73"/>
      <c r="G151" s="76"/>
      <c r="H151" s="76"/>
      <c r="I151" s="76"/>
      <c r="J151" s="15"/>
      <c r="K151" s="15"/>
      <c r="L151" s="13"/>
    </row>
    <row r="152" spans="2:22" s="71" customFormat="1" x14ac:dyDescent="0.25">
      <c r="C152" s="73" t="s">
        <v>152</v>
      </c>
      <c r="D152" s="73"/>
      <c r="E152" s="73" t="s">
        <v>37</v>
      </c>
      <c r="F152" s="73"/>
      <c r="G152" s="74">
        <v>234209012</v>
      </c>
      <c r="H152" s="74">
        <v>578454641</v>
      </c>
      <c r="I152" s="74">
        <f>27333433</f>
        <v>27333433</v>
      </c>
      <c r="J152" s="15"/>
      <c r="K152" s="15"/>
      <c r="L152" s="13">
        <f>I152</f>
        <v>27333433</v>
      </c>
    </row>
    <row r="153" spans="2:22" s="71" customFormat="1" x14ac:dyDescent="0.25">
      <c r="C153" s="73" t="s">
        <v>153</v>
      </c>
      <c r="D153" s="73"/>
      <c r="E153" s="73" t="s">
        <v>37</v>
      </c>
      <c r="F153" s="82"/>
      <c r="G153" s="153">
        <f>G152-G150</f>
        <v>0</v>
      </c>
      <c r="H153" s="153">
        <f>H152-H150</f>
        <v>0</v>
      </c>
      <c r="I153" s="153">
        <f>I152-I150</f>
        <v>24</v>
      </c>
      <c r="J153" s="15"/>
      <c r="K153" s="15"/>
      <c r="L153" s="13">
        <f>I153</f>
        <v>24</v>
      </c>
    </row>
    <row r="154" spans="2:22" s="71" customFormat="1" x14ac:dyDescent="0.25">
      <c r="C154" s="73" t="s">
        <v>154</v>
      </c>
      <c r="D154" s="73"/>
      <c r="E154" s="73" t="s">
        <v>37</v>
      </c>
      <c r="F154" s="73"/>
      <c r="G154" s="76">
        <f>G152+G153</f>
        <v>234209012</v>
      </c>
      <c r="H154" s="76">
        <f>H152+H153</f>
        <v>578454641</v>
      </c>
      <c r="I154" s="76">
        <f>I150+I153</f>
        <v>27333433</v>
      </c>
      <c r="J154" s="15"/>
      <c r="K154" s="15"/>
      <c r="L154" s="13">
        <f>I154</f>
        <v>27333433</v>
      </c>
    </row>
    <row r="155" spans="2:22" s="71" customFormat="1" x14ac:dyDescent="0.25">
      <c r="C155" s="73"/>
      <c r="D155" s="73"/>
      <c r="E155" s="73"/>
      <c r="F155" s="73"/>
      <c r="G155" s="76"/>
      <c r="H155" s="76"/>
      <c r="I155" s="76"/>
      <c r="J155" s="15"/>
      <c r="K155" s="15"/>
      <c r="L155" s="13"/>
    </row>
    <row r="156" spans="2:22" s="71" customFormat="1" x14ac:dyDescent="0.25">
      <c r="C156" s="73" t="s">
        <v>147</v>
      </c>
      <c r="D156" s="73"/>
      <c r="E156" s="73" t="s">
        <v>37</v>
      </c>
      <c r="F156" s="73"/>
      <c r="G156" s="74">
        <v>944409276</v>
      </c>
      <c r="H156" s="76">
        <f>G157</f>
        <v>1178618288</v>
      </c>
      <c r="I156" s="76">
        <f>H157</f>
        <v>1757072929</v>
      </c>
      <c r="J156" s="15"/>
      <c r="K156" s="15"/>
      <c r="L156" s="13">
        <f>I156</f>
        <v>1757072929</v>
      </c>
      <c r="M156" s="72">
        <f>L157</f>
        <v>1784406362</v>
      </c>
      <c r="N156" s="72">
        <f>M157</f>
        <v>1632537147.7472825</v>
      </c>
      <c r="O156" s="72">
        <f>N157</f>
        <v>1454491306.7702129</v>
      </c>
      <c r="P156" s="72">
        <f t="shared" ref="P156:V156" si="124">O157</f>
        <v>1157795410.0047081</v>
      </c>
      <c r="Q156" s="72">
        <f t="shared" si="124"/>
        <v>716695092.43074548</v>
      </c>
      <c r="R156" s="72">
        <f t="shared" si="124"/>
        <v>100280736.07694721</v>
      </c>
      <c r="S156" s="72">
        <f t="shared" si="124"/>
        <v>-728515339.54951823</v>
      </c>
      <c r="T156" s="72">
        <f t="shared" si="124"/>
        <v>-1814114603.8318238</v>
      </c>
      <c r="U156" s="72">
        <f t="shared" si="124"/>
        <v>-3209717902.7921667</v>
      </c>
      <c r="V156" s="72">
        <f t="shared" si="124"/>
        <v>-4979004914.1078148</v>
      </c>
    </row>
    <row r="157" spans="2:22" s="71" customFormat="1" x14ac:dyDescent="0.25">
      <c r="C157" s="73" t="s">
        <v>148</v>
      </c>
      <c r="D157" s="73"/>
      <c r="E157" s="73" t="s">
        <v>37</v>
      </c>
      <c r="F157" s="73"/>
      <c r="G157" s="83">
        <f>IF(G6,G156+G154,G148+G156)</f>
        <v>1178618288</v>
      </c>
      <c r="H157" s="83">
        <f>IF(H6,H156+H154,H148+H156)</f>
        <v>1757072929</v>
      </c>
      <c r="I157" s="83">
        <f>IF(I6,I156+I154,I148+I156)</f>
        <v>1784406362</v>
      </c>
      <c r="J157" s="15"/>
      <c r="K157" s="15"/>
      <c r="L157" s="13">
        <f>I157</f>
        <v>1784406362</v>
      </c>
      <c r="M157" s="83">
        <f t="shared" ref="M157:V157" si="125">IF(M6,M156+M154,M148+M156)</f>
        <v>1632537147.7472825</v>
      </c>
      <c r="N157" s="83">
        <f t="shared" si="125"/>
        <v>1454491306.7702129</v>
      </c>
      <c r="O157" s="83">
        <f t="shared" si="125"/>
        <v>1157795410.0047081</v>
      </c>
      <c r="P157" s="83">
        <f t="shared" si="125"/>
        <v>716695092.43074548</v>
      </c>
      <c r="Q157" s="83">
        <f t="shared" si="125"/>
        <v>100280736.07694721</v>
      </c>
      <c r="R157" s="83">
        <f t="shared" si="125"/>
        <v>-728515339.54951823</v>
      </c>
      <c r="S157" s="83">
        <f t="shared" si="125"/>
        <v>-1814114603.8318238</v>
      </c>
      <c r="T157" s="83">
        <f t="shared" si="125"/>
        <v>-3209717902.7921667</v>
      </c>
      <c r="U157" s="83">
        <f t="shared" si="125"/>
        <v>-4979004914.1078148</v>
      </c>
      <c r="V157" s="83">
        <f t="shared" si="125"/>
        <v>-7198159885.0427151</v>
      </c>
    </row>
    <row r="158" spans="2:22" x14ac:dyDescent="0.25">
      <c r="C158" s="18"/>
      <c r="D158" s="18"/>
      <c r="E158" s="18"/>
      <c r="F158" s="18"/>
      <c r="G158" s="18"/>
      <c r="H158" s="19"/>
      <c r="I158" s="19"/>
      <c r="J158" s="15"/>
      <c r="K158" s="15"/>
      <c r="L158" s="15"/>
    </row>
    <row r="159" spans="2:22" x14ac:dyDescent="0.25">
      <c r="B159" s="42" t="s">
        <v>114</v>
      </c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</row>
  </sheetData>
  <conditionalFormatting sqref="H127:I127">
    <cfRule type="cellIs" dxfId="15" priority="22" operator="notEqual">
      <formula>0</formula>
    </cfRule>
  </conditionalFormatting>
  <conditionalFormatting sqref="H138:I138">
    <cfRule type="cellIs" dxfId="14" priority="20" operator="notEqual">
      <formula>0</formula>
    </cfRule>
  </conditionalFormatting>
  <conditionalFormatting sqref="H139:I139">
    <cfRule type="cellIs" dxfId="13" priority="21" operator="greaterThan">
      <formula>0</formula>
    </cfRule>
  </conditionalFormatting>
  <conditionalFormatting sqref="H146:I146 H158:I158">
    <cfRule type="cellIs" dxfId="12" priority="19" operator="notEqual">
      <formula>0</formula>
    </cfRule>
  </conditionalFormatting>
  <conditionalFormatting sqref="H153:I153">
    <cfRule type="cellIs" dxfId="11" priority="18" operator="notEqual">
      <formula>0</formula>
    </cfRule>
  </conditionalFormatting>
  <conditionalFormatting sqref="H42:I42">
    <cfRule type="cellIs" dxfId="10" priority="17" operator="notEqual">
      <formula>0</formula>
    </cfRule>
  </conditionalFormatting>
  <conditionalFormatting sqref="L42">
    <cfRule type="cellIs" dxfId="9" priority="16" operator="notEqual">
      <formula>0</formula>
    </cfRule>
  </conditionalFormatting>
  <conditionalFormatting sqref="M42:V42">
    <cfRule type="cellIs" dxfId="8" priority="15" operator="notEqual">
      <formula>0</formula>
    </cfRule>
  </conditionalFormatting>
  <conditionalFormatting sqref="G138">
    <cfRule type="cellIs" dxfId="7" priority="6" operator="notEqual">
      <formula>0</formula>
    </cfRule>
  </conditionalFormatting>
  <conditionalFormatting sqref="G139">
    <cfRule type="cellIs" dxfId="6" priority="7" operator="greaterThan">
      <formula>0</formula>
    </cfRule>
  </conditionalFormatting>
  <conditionalFormatting sqref="G146:G147 H147:I147">
    <cfRule type="cellIs" dxfId="5" priority="5" operator="notEqual">
      <formula>0</formula>
    </cfRule>
  </conditionalFormatting>
  <conditionalFormatting sqref="G153">
    <cfRule type="cellIs" dxfId="4" priority="4" operator="notEqual">
      <formula>0</formula>
    </cfRule>
  </conditionalFormatting>
  <conditionalFormatting sqref="G42">
    <cfRule type="cellIs" dxfId="3" priority="9" operator="notEqual">
      <formula>0</formula>
    </cfRule>
  </conditionalFormatting>
  <conditionalFormatting sqref="G127">
    <cfRule type="cellIs" dxfId="2" priority="3" operator="notEqual">
      <formula>0</formula>
    </cfRule>
  </conditionalFormatting>
  <conditionalFormatting sqref="M20:V40">
    <cfRule type="cellIs" dxfId="1" priority="2" operator="lessThan">
      <formula>0</formula>
    </cfRule>
  </conditionalFormatting>
  <conditionalFormatting sqref="M147:V147">
    <cfRule type="cellIs" dxfId="0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2060"/>
  </sheetPr>
  <dimension ref="B2:BA45"/>
  <sheetViews>
    <sheetView tabSelected="1" zoomScale="80" zoomScaleNormal="80" workbookViewId="0">
      <pane ySplit="5" topLeftCell="A21" activePane="bottomLeft" state="frozen"/>
      <selection pane="bottomLeft" activeCell="D37" sqref="D37"/>
    </sheetView>
  </sheetViews>
  <sheetFormatPr defaultRowHeight="15" x14ac:dyDescent="0.25"/>
  <cols>
    <col min="1" max="2" width="1.7109375" customWidth="1"/>
    <col min="3" max="3" width="1.85546875" customWidth="1"/>
    <col min="4" max="4" width="29.7109375" customWidth="1"/>
    <col min="5" max="5" width="7.7109375" customWidth="1"/>
    <col min="6" max="6" width="22" bestFit="1" customWidth="1"/>
    <col min="7" max="7" width="18.7109375" bestFit="1" customWidth="1"/>
    <col min="8" max="10" width="22" bestFit="1" customWidth="1"/>
    <col min="11" max="13" width="23.140625" bestFit="1" customWidth="1"/>
    <col min="14" max="14" width="22" bestFit="1" customWidth="1"/>
    <col min="15" max="16" width="15.140625" bestFit="1" customWidth="1"/>
  </cols>
  <sheetData>
    <row r="2" spans="2:53" x14ac:dyDescent="0.25">
      <c r="B2" s="42"/>
      <c r="C2" s="42" t="s">
        <v>202</v>
      </c>
      <c r="D2" s="42"/>
    </row>
    <row r="3" spans="2:53" x14ac:dyDescent="0.25">
      <c r="B3" s="42"/>
      <c r="C3" s="42"/>
      <c r="D3" s="42"/>
      <c r="E3" s="42"/>
      <c r="F3" s="67">
        <f>'Operating model'!L3</f>
        <v>45992</v>
      </c>
      <c r="G3" s="44">
        <f>'Operating model'!M3</f>
        <v>46357</v>
      </c>
      <c r="H3" s="44">
        <f>'Operating model'!N3</f>
        <v>46722</v>
      </c>
      <c r="I3" s="44">
        <f>'Operating model'!O3</f>
        <v>47088</v>
      </c>
      <c r="J3" s="44">
        <f>'Operating model'!P3</f>
        <v>47453</v>
      </c>
      <c r="K3" s="44">
        <f>'Operating model'!Q3</f>
        <v>47818</v>
      </c>
      <c r="L3" s="44">
        <f>'Operating model'!R3</f>
        <v>48183</v>
      </c>
      <c r="M3" s="44">
        <f>'Operating model'!S3</f>
        <v>48549</v>
      </c>
      <c r="N3" s="44">
        <f>'Operating model'!T3</f>
        <v>48914</v>
      </c>
      <c r="O3" s="44">
        <f>'Operating model'!U3</f>
        <v>49279</v>
      </c>
      <c r="P3" s="44">
        <f>'Operating model'!V3</f>
        <v>49644</v>
      </c>
      <c r="Q3" s="44"/>
      <c r="R3" s="44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</row>
    <row r="4" spans="2:53" x14ac:dyDescent="0.25">
      <c r="B4" s="42"/>
      <c r="C4" s="42"/>
      <c r="D4" s="42" t="s">
        <v>113</v>
      </c>
      <c r="E4" s="42"/>
      <c r="F4" s="67"/>
      <c r="G4" s="90">
        <v>1</v>
      </c>
      <c r="H4" s="43">
        <f>G4+1</f>
        <v>2</v>
      </c>
      <c r="I4" s="43">
        <f t="shared" ref="I4:P4" si="0">H4+1</f>
        <v>3</v>
      </c>
      <c r="J4" s="43">
        <f t="shared" si="0"/>
        <v>4</v>
      </c>
      <c r="K4" s="43">
        <f t="shared" si="0"/>
        <v>5</v>
      </c>
      <c r="L4" s="43">
        <f t="shared" si="0"/>
        <v>6</v>
      </c>
      <c r="M4" s="43">
        <f t="shared" si="0"/>
        <v>7</v>
      </c>
      <c r="N4" s="43">
        <f t="shared" si="0"/>
        <v>8</v>
      </c>
      <c r="O4" s="43">
        <f t="shared" si="0"/>
        <v>9</v>
      </c>
      <c r="P4" s="43">
        <f t="shared" si="0"/>
        <v>10</v>
      </c>
      <c r="Q4" s="44"/>
      <c r="R4" s="44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</row>
    <row r="5" spans="2:53" x14ac:dyDescent="0.25">
      <c r="B5" s="42"/>
      <c r="C5" s="42"/>
      <c r="D5" s="42" t="s">
        <v>205</v>
      </c>
      <c r="E5" s="42"/>
      <c r="F5" s="67"/>
      <c r="G5" s="90">
        <v>0.5</v>
      </c>
      <c r="H5" s="43">
        <f>G5+1</f>
        <v>1.5</v>
      </c>
      <c r="I5" s="43">
        <f t="shared" ref="I5:P5" si="1">H5+1</f>
        <v>2.5</v>
      </c>
      <c r="J5" s="43">
        <f t="shared" si="1"/>
        <v>3.5</v>
      </c>
      <c r="K5" s="43">
        <f t="shared" si="1"/>
        <v>4.5</v>
      </c>
      <c r="L5" s="43">
        <f t="shared" si="1"/>
        <v>5.5</v>
      </c>
      <c r="M5" s="43">
        <f t="shared" si="1"/>
        <v>6.5</v>
      </c>
      <c r="N5" s="43">
        <f t="shared" si="1"/>
        <v>7.5</v>
      </c>
      <c r="O5" s="43">
        <f t="shared" si="1"/>
        <v>8.5</v>
      </c>
      <c r="P5" s="43">
        <f t="shared" si="1"/>
        <v>9.5</v>
      </c>
      <c r="Q5" s="44"/>
      <c r="R5" s="44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</row>
    <row r="6" spans="2:53" x14ac:dyDescent="0.25">
      <c r="F6" s="21"/>
    </row>
    <row r="7" spans="2:53" x14ac:dyDescent="0.25">
      <c r="F7" s="21"/>
    </row>
    <row r="8" spans="2:53" x14ac:dyDescent="0.25">
      <c r="D8" t="s">
        <v>199</v>
      </c>
      <c r="F8" s="110"/>
      <c r="G8" s="92">
        <f>-'Operating model'!M142</f>
        <v>54790846.851855017</v>
      </c>
      <c r="H8" s="92">
        <f>-'Operating model'!N142</f>
        <v>61816716.378369451</v>
      </c>
      <c r="I8" s="92">
        <f>-'Operating model'!O142</f>
        <v>70244956.624820903</v>
      </c>
      <c r="J8" s="92">
        <f>-'Operating model'!P142</f>
        <v>80347679.574092805</v>
      </c>
      <c r="K8" s="92">
        <f>-'Operating model'!Q142</f>
        <v>92449248.231087103</v>
      </c>
      <c r="L8" s="92">
        <f>-'Operating model'!R142</f>
        <v>106936270.17169371</v>
      </c>
      <c r="M8" s="92">
        <f>-'Operating model'!S142</f>
        <v>124269499.55836143</v>
      </c>
      <c r="N8" s="92">
        <f>-'Operating model'!T142</f>
        <v>144998011.86876178</v>
      </c>
      <c r="O8" s="92">
        <f>-'Operating model'!U142</f>
        <v>169776085.0878036</v>
      </c>
      <c r="P8" s="92">
        <f>-'Operating model'!V142</f>
        <v>199383303.87823823</v>
      </c>
    </row>
    <row r="9" spans="2:53" x14ac:dyDescent="0.25">
      <c r="D9" t="s">
        <v>206</v>
      </c>
      <c r="F9" s="110"/>
      <c r="G9" s="91">
        <f t="shared" ref="G9:P9" si="2">1/(1+$F$12)^G5</f>
        <v>0.93437982365589656</v>
      </c>
      <c r="H9" s="91">
        <f t="shared" si="2"/>
        <v>0.81577493262364476</v>
      </c>
      <c r="I9" s="91">
        <f t="shared" si="2"/>
        <v>0.71222507576553917</v>
      </c>
      <c r="J9" s="91">
        <f t="shared" si="2"/>
        <v>0.6218192521775523</v>
      </c>
      <c r="K9" s="91">
        <f t="shared" si="2"/>
        <v>0.5428890326039808</v>
      </c>
      <c r="L9" s="91">
        <f t="shared" si="2"/>
        <v>0.4739777687641139</v>
      </c>
      <c r="M9" s="91">
        <f t="shared" si="2"/>
        <v>0.4138137110728593</v>
      </c>
      <c r="N9" s="91">
        <f t="shared" si="2"/>
        <v>0.3612865386458966</v>
      </c>
      <c r="O9" s="91">
        <f t="shared" si="2"/>
        <v>0.31542686845325713</v>
      </c>
      <c r="P9" s="91">
        <f t="shared" si="2"/>
        <v>0.27538836546507572</v>
      </c>
    </row>
    <row r="10" spans="2:53" x14ac:dyDescent="0.25">
      <c r="D10" t="s">
        <v>207</v>
      </c>
      <c r="F10" s="110"/>
      <c r="G10" s="31">
        <f>G8*G9</f>
        <v>51195461.819393523</v>
      </c>
      <c r="H10" s="31">
        <f t="shared" ref="H10:P10" si="3">H8*H9</f>
        <v>50428527.638579294</v>
      </c>
      <c r="I10" s="31">
        <f t="shared" si="3"/>
        <v>50030219.554260083</v>
      </c>
      <c r="J10" s="31">
        <f t="shared" si="3"/>
        <v>49961734.026963979</v>
      </c>
      <c r="K10" s="31">
        <f t="shared" si="3"/>
        <v>50189682.937140159</v>
      </c>
      <c r="L10" s="31">
        <f t="shared" si="3"/>
        <v>50685414.735935852</v>
      </c>
      <c r="M10" s="31">
        <f t="shared" si="3"/>
        <v>51424422.785412595</v>
      </c>
      <c r="N10" s="31">
        <f t="shared" si="3"/>
        <v>52385829.818601578</v>
      </c>
      <c r="O10" s="31">
        <f t="shared" si="3"/>
        <v>53551938.857499614</v>
      </c>
      <c r="P10" s="31">
        <f t="shared" si="3"/>
        <v>54907842.156054519</v>
      </c>
    </row>
    <row r="11" spans="2:53" x14ac:dyDescent="0.25">
      <c r="F11" s="110"/>
    </row>
    <row r="12" spans="2:53" x14ac:dyDescent="0.25">
      <c r="D12" t="s">
        <v>203</v>
      </c>
      <c r="F12" s="120">
        <f>'Cost of Equity'!E18</f>
        <v>0.14538923211430665</v>
      </c>
      <c r="G12" s="125"/>
    </row>
    <row r="13" spans="2:53" x14ac:dyDescent="0.25">
      <c r="D13" t="s">
        <v>204</v>
      </c>
      <c r="F13" s="121">
        <v>0.03</v>
      </c>
    </row>
    <row r="14" spans="2:53" x14ac:dyDescent="0.25">
      <c r="F14" s="110"/>
    </row>
    <row r="15" spans="2:53" x14ac:dyDescent="0.25">
      <c r="D15" t="s">
        <v>208</v>
      </c>
      <c r="F15" s="111">
        <f>P8*(1+F12)/(F12-F13)</f>
        <v>1979140385.467509</v>
      </c>
    </row>
    <row r="16" spans="2:53" x14ac:dyDescent="0.25">
      <c r="D16" t="s">
        <v>209</v>
      </c>
      <c r="F16" s="111">
        <f>F15/(1+F12)^P5</f>
        <v>545032235.77981722</v>
      </c>
    </row>
    <row r="17" spans="4:14" x14ac:dyDescent="0.25">
      <c r="D17" t="s">
        <v>207</v>
      </c>
      <c r="F17" s="111">
        <f>SUM(G10:P10)</f>
        <v>514761074.32984114</v>
      </c>
    </row>
    <row r="18" spans="4:14" ht="15.75" thickBot="1" x14ac:dyDescent="0.3">
      <c r="F18" s="110"/>
    </row>
    <row r="19" spans="4:14" ht="15.75" thickBot="1" x14ac:dyDescent="0.3">
      <c r="D19" s="6" t="s">
        <v>210</v>
      </c>
      <c r="E19" s="7"/>
      <c r="F19" s="112">
        <f>F16+F17</f>
        <v>1059793310.1096584</v>
      </c>
    </row>
    <row r="20" spans="4:14" x14ac:dyDescent="0.25">
      <c r="D20" t="s">
        <v>299</v>
      </c>
      <c r="F20" s="160">
        <v>16000000</v>
      </c>
      <c r="G20" s="158">
        <f>F19/G21</f>
        <v>3532644.3670321945</v>
      </c>
    </row>
    <row r="21" spans="4:14" x14ac:dyDescent="0.25">
      <c r="D21" s="155" t="s">
        <v>298</v>
      </c>
      <c r="E21" s="156"/>
      <c r="F21" s="157">
        <f>F19/F20</f>
        <v>66.237081881853641</v>
      </c>
      <c r="G21" s="159">
        <v>300</v>
      </c>
    </row>
    <row r="23" spans="4:14" x14ac:dyDescent="0.25">
      <c r="D23" s="42" t="s">
        <v>300</v>
      </c>
      <c r="E23" s="42"/>
      <c r="F23" s="42"/>
      <c r="G23" s="42"/>
      <c r="H23" s="42"/>
      <c r="I23" s="42"/>
      <c r="J23" s="42" t="s">
        <v>203</v>
      </c>
      <c r="K23" s="42"/>
      <c r="L23" s="42"/>
      <c r="M23" s="42"/>
    </row>
    <row r="24" spans="4:14" x14ac:dyDescent="0.25">
      <c r="D24" s="42"/>
      <c r="E24" s="62">
        <f>F19</f>
        <v>1059793310.1096584</v>
      </c>
      <c r="F24" s="116">
        <v>0.14538923211430699</v>
      </c>
      <c r="G24" s="116">
        <f>F24+1%</f>
        <v>0.155389232114307</v>
      </c>
      <c r="H24" s="116">
        <f>G24+1%</f>
        <v>0.16538923211430701</v>
      </c>
      <c r="I24" s="116">
        <f t="shared" ref="I24:M24" si="4">H24+1%</f>
        <v>0.17538923211430701</v>
      </c>
      <c r="J24" s="116">
        <f t="shared" si="4"/>
        <v>0.18538923211430702</v>
      </c>
      <c r="K24" s="116">
        <f t="shared" si="4"/>
        <v>0.19538923211430703</v>
      </c>
      <c r="L24" s="116">
        <f t="shared" si="4"/>
        <v>0.20538923211430704</v>
      </c>
      <c r="M24" s="116">
        <f t="shared" si="4"/>
        <v>0.21538923211430705</v>
      </c>
      <c r="N24" s="115"/>
    </row>
    <row r="25" spans="4:14" x14ac:dyDescent="0.25">
      <c r="D25" s="42"/>
      <c r="E25" s="116">
        <v>0.01</v>
      </c>
      <c r="F25" s="31">
        <f t="dataTable" ref="F25:M32" dt2D="1" dtr="1" r1="F12" r2="F13" ca="1"/>
        <v>979279929.9436965</v>
      </c>
      <c r="G25" s="31">
        <v>894482785.66803193</v>
      </c>
      <c r="H25" s="31">
        <v>821455339.32141256</v>
      </c>
      <c r="I25" s="31">
        <v>758024571.52284956</v>
      </c>
      <c r="J25" s="31">
        <v>702514091.40262997</v>
      </c>
      <c r="K25" s="31">
        <v>653610294.73045278</v>
      </c>
      <c r="L25" s="31">
        <v>610269592.70633149</v>
      </c>
      <c r="M25" s="31">
        <v>571652719.08852673</v>
      </c>
    </row>
    <row r="26" spans="4:14" x14ac:dyDescent="0.25">
      <c r="D26" s="42"/>
      <c r="E26" s="116">
        <f>E25+0.5%</f>
        <v>1.4999999999999999E-2</v>
      </c>
      <c r="F26" s="31">
        <v>997092706.66158652</v>
      </c>
      <c r="G26" s="31">
        <v>908791547.91226912</v>
      </c>
      <c r="H26" s="31">
        <v>833070296.72947931</v>
      </c>
      <c r="I26" s="31">
        <v>767540076.42883968</v>
      </c>
      <c r="J26" s="31">
        <v>710373600.27125692</v>
      </c>
      <c r="K26" s="31">
        <v>660149640.35399914</v>
      </c>
      <c r="L26" s="31">
        <v>615746478.31215882</v>
      </c>
      <c r="M26" s="31">
        <v>576267233.14563131</v>
      </c>
    </row>
    <row r="27" spans="4:14" x14ac:dyDescent="0.25">
      <c r="D27" s="42"/>
      <c r="E27" s="116">
        <f t="shared" ref="E27:E32" si="5">E26+0.5%</f>
        <v>0.02</v>
      </c>
      <c r="F27" s="31">
        <v>1016326081.9761448</v>
      </c>
      <c r="G27" s="31">
        <v>924157171.32787013</v>
      </c>
      <c r="H27" s="31">
        <v>845484141.18297267</v>
      </c>
      <c r="I27" s="31">
        <v>777667947.11954463</v>
      </c>
      <c r="J27" s="31">
        <v>718708321.99190259</v>
      </c>
      <c r="K27" s="31">
        <v>667061833.58881068</v>
      </c>
      <c r="L27" s="31">
        <v>621518790.22421575</v>
      </c>
      <c r="M27" s="31">
        <v>581117917.53859174</v>
      </c>
    </row>
    <row r="28" spans="4:14" x14ac:dyDescent="0.25">
      <c r="D28" s="42" t="s">
        <v>264</v>
      </c>
      <c r="E28" s="116">
        <f t="shared" si="5"/>
        <v>2.5000000000000001E-2</v>
      </c>
      <c r="F28" s="31">
        <v>1037157056.5922998</v>
      </c>
      <c r="G28" s="31">
        <v>940701237.40828633</v>
      </c>
      <c r="H28" s="31">
        <v>858782230.4084146</v>
      </c>
      <c r="I28" s="31">
        <v>788469261.68307996</v>
      </c>
      <c r="J28" s="31">
        <v>727562699.65271211</v>
      </c>
      <c r="K28" s="31">
        <v>674379697.60158408</v>
      </c>
      <c r="L28" s="31">
        <v>627611094.1803875</v>
      </c>
      <c r="M28" s="31">
        <v>586223379.17599463</v>
      </c>
    </row>
    <row r="29" spans="4:14" x14ac:dyDescent="0.25">
      <c r="D29" s="42"/>
      <c r="E29" s="116">
        <f t="shared" si="5"/>
        <v>3.0000000000000002E-2</v>
      </c>
      <c r="F29" s="118">
        <v>1059793310.1096542</v>
      </c>
      <c r="G29" s="117">
        <v>958564720.29997516</v>
      </c>
      <c r="H29" s="31">
        <v>873062531.36648655</v>
      </c>
      <c r="I29" s="31">
        <v>800013500.21742511</v>
      </c>
      <c r="J29" s="31">
        <v>736986896.56935596</v>
      </c>
      <c r="K29" s="31">
        <v>682140024.76139688</v>
      </c>
      <c r="L29" s="31">
        <v>634050757.20089459</v>
      </c>
      <c r="M29" s="31">
        <v>591604232.30076575</v>
      </c>
    </row>
    <row r="30" spans="4:14" x14ac:dyDescent="0.25">
      <c r="D30" s="42"/>
      <c r="E30" s="116">
        <f t="shared" si="5"/>
        <v>3.5000000000000003E-2</v>
      </c>
      <c r="F30" s="31">
        <v>1084480148.9136164</v>
      </c>
      <c r="G30" s="31">
        <v>977912013.87622142</v>
      </c>
      <c r="H30" s="31">
        <v>888438037.8661902</v>
      </c>
      <c r="I30" s="31">
        <v>812380041.02955079</v>
      </c>
      <c r="J30" s="31">
        <v>747037747.1888051</v>
      </c>
      <c r="K30" s="31">
        <v>690384195.32251</v>
      </c>
      <c r="L30" s="31">
        <v>640868358.60052347</v>
      </c>
      <c r="M30" s="31">
        <v>597283376.68503749</v>
      </c>
    </row>
    <row r="31" spans="4:14" x14ac:dyDescent="0.25">
      <c r="D31" s="42"/>
      <c r="E31" s="116">
        <f t="shared" si="5"/>
        <v>0.04</v>
      </c>
      <c r="F31" s="31">
        <v>1111509431.8467083</v>
      </c>
      <c r="G31" s="31">
        <v>998936005.80826247</v>
      </c>
      <c r="H31" s="31">
        <v>905039766.60527158</v>
      </c>
      <c r="I31" s="31">
        <v>825659988.3673656</v>
      </c>
      <c r="J31" s="31">
        <v>757779904.20510936</v>
      </c>
      <c r="K31" s="31">
        <v>699158915.55228019</v>
      </c>
      <c r="L31" s="31">
        <v>648098175.5544827</v>
      </c>
      <c r="M31" s="31">
        <v>603286323.40972722</v>
      </c>
    </row>
    <row r="32" spans="4:14" x14ac:dyDescent="0.25">
      <c r="D32" s="42"/>
      <c r="E32" s="116">
        <f t="shared" si="5"/>
        <v>4.4999999999999998E-2</v>
      </c>
      <c r="F32" s="31">
        <v>1141231163.1991997</v>
      </c>
      <c r="G32" s="31">
        <v>1021864530.594583</v>
      </c>
      <c r="H32" s="31">
        <v>923020499.79911315</v>
      </c>
      <c r="I32" s="31">
        <v>839958420.67686677</v>
      </c>
      <c r="J32" s="31">
        <v>769287230.80418897</v>
      </c>
      <c r="K32" s="31">
        <v>708517103.10257638</v>
      </c>
      <c r="L32" s="31">
        <v>655778759.4869138</v>
      </c>
      <c r="M32" s="31">
        <v>609641578.00330043</v>
      </c>
    </row>
    <row r="34" spans="2:22" x14ac:dyDescent="0.25">
      <c r="D34" s="42" t="s">
        <v>301</v>
      </c>
      <c r="E34" s="42"/>
      <c r="F34" s="42"/>
      <c r="G34" s="42"/>
      <c r="H34" s="42"/>
      <c r="I34" s="42"/>
      <c r="J34" s="42" t="s">
        <v>203</v>
      </c>
      <c r="K34" s="42"/>
      <c r="L34" s="42"/>
      <c r="M34" s="42"/>
    </row>
    <row r="35" spans="2:22" x14ac:dyDescent="0.25">
      <c r="D35" s="42"/>
      <c r="E35" s="62">
        <f>F21</f>
        <v>66.237081881853641</v>
      </c>
      <c r="F35" s="116">
        <v>0.14538923211430699</v>
      </c>
      <c r="G35" s="116">
        <f>F35+1%</f>
        <v>0.155389232114307</v>
      </c>
      <c r="H35" s="116">
        <f>G35+1%</f>
        <v>0.16538923211430701</v>
      </c>
      <c r="I35" s="116">
        <f t="shared" ref="I35" si="6">H35+1%</f>
        <v>0.17538923211430701</v>
      </c>
      <c r="J35" s="116">
        <f t="shared" ref="J35" si="7">I35+1%</f>
        <v>0.18538923211430702</v>
      </c>
      <c r="K35" s="116">
        <f t="shared" ref="K35" si="8">J35+1%</f>
        <v>0.19538923211430703</v>
      </c>
      <c r="L35" s="116">
        <f t="shared" ref="L35" si="9">K35+1%</f>
        <v>0.20538923211430704</v>
      </c>
      <c r="M35" s="116">
        <f t="shared" ref="M35" si="10">L35+1%</f>
        <v>0.21538923211430705</v>
      </c>
    </row>
    <row r="36" spans="2:22" x14ac:dyDescent="0.25">
      <c r="D36" s="42"/>
      <c r="E36" s="116">
        <v>0.01</v>
      </c>
      <c r="F36" s="31">
        <f t="dataTable" ref="F36:M43" dt2D="1" dtr="1" r1="F12" r2="F13"/>
        <v>61.204995621481032</v>
      </c>
      <c r="G36" s="31">
        <v>55.905174104251998</v>
      </c>
      <c r="H36" s="31">
        <v>51.340958707588285</v>
      </c>
      <c r="I36" s="31">
        <v>47.376535720178097</v>
      </c>
      <c r="J36" s="31">
        <v>43.907130712664376</v>
      </c>
      <c r="K36" s="31">
        <v>40.850643420653299</v>
      </c>
      <c r="L36" s="31">
        <v>38.141849544145721</v>
      </c>
      <c r="M36" s="31">
        <v>35.728294943032921</v>
      </c>
    </row>
    <row r="37" spans="2:22" x14ac:dyDescent="0.25">
      <c r="D37" s="42"/>
      <c r="E37" s="116">
        <f>E36+0.5%</f>
        <v>1.4999999999999999E-2</v>
      </c>
      <c r="F37" s="31">
        <v>62.318294166349155</v>
      </c>
      <c r="G37" s="31">
        <v>56.799471744516822</v>
      </c>
      <c r="H37" s="31">
        <v>52.066893545592457</v>
      </c>
      <c r="I37" s="31">
        <v>47.971254776802482</v>
      </c>
      <c r="J37" s="31">
        <v>44.398350016953557</v>
      </c>
      <c r="K37" s="31">
        <v>41.259352522124949</v>
      </c>
      <c r="L37" s="31">
        <v>38.484154894509928</v>
      </c>
      <c r="M37" s="31">
        <v>36.016702071601955</v>
      </c>
    </row>
    <row r="38" spans="2:22" x14ac:dyDescent="0.25">
      <c r="D38" s="42"/>
      <c r="E38" s="116">
        <f t="shared" ref="E38:E43" si="11">E37+0.5%</f>
        <v>0.02</v>
      </c>
      <c r="F38" s="31">
        <v>63.520380123509049</v>
      </c>
      <c r="G38" s="31">
        <v>57.759823207991886</v>
      </c>
      <c r="H38" s="31">
        <v>52.842758823935789</v>
      </c>
      <c r="I38" s="31">
        <v>48.604246694971536</v>
      </c>
      <c r="J38" s="31">
        <v>44.919270124493913</v>
      </c>
      <c r="K38" s="31">
        <v>41.69136459930067</v>
      </c>
      <c r="L38" s="31">
        <v>38.844924389013485</v>
      </c>
      <c r="M38" s="31">
        <v>36.319869846161986</v>
      </c>
    </row>
    <row r="39" spans="2:22" x14ac:dyDescent="0.25">
      <c r="D39" s="42" t="s">
        <v>264</v>
      </c>
      <c r="E39" s="116">
        <f t="shared" si="11"/>
        <v>2.5000000000000001E-2</v>
      </c>
      <c r="F39" s="31">
        <v>64.822316037018737</v>
      </c>
      <c r="G39" s="31">
        <v>58.793827338017898</v>
      </c>
      <c r="H39" s="31">
        <v>53.673889400525916</v>
      </c>
      <c r="I39" s="31">
        <v>49.279328855192496</v>
      </c>
      <c r="J39" s="31">
        <v>45.472668728294508</v>
      </c>
      <c r="K39" s="31">
        <v>42.148731100099006</v>
      </c>
      <c r="L39" s="31">
        <v>39.225693386274216</v>
      </c>
      <c r="M39" s="31">
        <v>36.638961198499665</v>
      </c>
    </row>
    <row r="40" spans="2:22" x14ac:dyDescent="0.25">
      <c r="D40" s="42"/>
      <c r="E40" s="116">
        <f t="shared" si="11"/>
        <v>3.0000000000000002E-2</v>
      </c>
      <c r="F40" s="118">
        <v>66.237081881853385</v>
      </c>
      <c r="G40" s="117">
        <v>59.91029501874845</v>
      </c>
      <c r="H40" s="31">
        <v>54.566408210405406</v>
      </c>
      <c r="I40" s="31">
        <v>50.000843763589067</v>
      </c>
      <c r="J40" s="31">
        <v>46.061681035584748</v>
      </c>
      <c r="K40" s="31">
        <v>42.633751547587302</v>
      </c>
      <c r="L40" s="31">
        <v>39.628172325055914</v>
      </c>
      <c r="M40" s="31">
        <v>36.975264518797857</v>
      </c>
    </row>
    <row r="41" spans="2:22" x14ac:dyDescent="0.25">
      <c r="D41" s="42"/>
      <c r="E41" s="116">
        <f t="shared" si="11"/>
        <v>3.5000000000000003E-2</v>
      </c>
      <c r="F41" s="31">
        <v>67.780009307101025</v>
      </c>
      <c r="G41" s="31">
        <v>61.119500867263838</v>
      </c>
      <c r="H41" s="31">
        <v>55.527377366636884</v>
      </c>
      <c r="I41" s="31">
        <v>50.773752564346921</v>
      </c>
      <c r="J41" s="31">
        <v>46.689859199300322</v>
      </c>
      <c r="K41" s="31">
        <v>43.149012207656874</v>
      </c>
      <c r="L41" s="31">
        <v>40.054272412532718</v>
      </c>
      <c r="M41" s="31">
        <v>37.330211042814845</v>
      </c>
    </row>
    <row r="42" spans="2:22" x14ac:dyDescent="0.25">
      <c r="D42" s="42"/>
      <c r="E42" s="116">
        <f t="shared" si="11"/>
        <v>0.04</v>
      </c>
      <c r="F42" s="31">
        <v>69.469339490419273</v>
      </c>
      <c r="G42" s="31">
        <v>62.433500363016407</v>
      </c>
      <c r="H42" s="31">
        <v>56.564985412829472</v>
      </c>
      <c r="I42" s="31">
        <v>51.60374927296035</v>
      </c>
      <c r="J42" s="31">
        <v>47.361244012819334</v>
      </c>
      <c r="K42" s="31">
        <v>43.697432222017511</v>
      </c>
      <c r="L42" s="31">
        <v>40.506135972155171</v>
      </c>
      <c r="M42" s="31">
        <v>37.705395213107948</v>
      </c>
    </row>
    <row r="43" spans="2:22" x14ac:dyDescent="0.25">
      <c r="D43" s="42"/>
      <c r="E43" s="116">
        <f t="shared" si="11"/>
        <v>4.4999999999999998E-2</v>
      </c>
      <c r="F43" s="31">
        <v>71.326947699949983</v>
      </c>
      <c r="G43" s="31">
        <v>63.866533162161438</v>
      </c>
      <c r="H43" s="31">
        <v>57.688781237444573</v>
      </c>
      <c r="I43" s="31">
        <v>52.497401292304176</v>
      </c>
      <c r="J43" s="31">
        <v>48.080451925261812</v>
      </c>
      <c r="K43" s="31">
        <v>44.282318943911022</v>
      </c>
      <c r="L43" s="31">
        <v>40.986172467932114</v>
      </c>
      <c r="M43" s="31">
        <v>38.102598625206276</v>
      </c>
    </row>
    <row r="45" spans="2:22" x14ac:dyDescent="0.25">
      <c r="B45" s="42" t="s">
        <v>114</v>
      </c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002060"/>
  </sheetPr>
  <dimension ref="B2:CA38"/>
  <sheetViews>
    <sheetView zoomScale="80" zoomScaleNormal="80" zoomScaleSheetLayoutView="50" workbookViewId="0">
      <pane ySplit="2" topLeftCell="A3" activePane="bottomLeft" state="frozen"/>
      <selection pane="bottomLeft" activeCell="E34" sqref="E34"/>
    </sheetView>
  </sheetViews>
  <sheetFormatPr defaultRowHeight="15" x14ac:dyDescent="0.25"/>
  <cols>
    <col min="1" max="3" width="1.7109375" customWidth="1"/>
    <col min="4" max="4" width="33.7109375" bestFit="1" customWidth="1"/>
    <col min="5" max="5" width="47.7109375" bestFit="1" customWidth="1"/>
    <col min="6" max="7" width="22.42578125" bestFit="1" customWidth="1"/>
    <col min="8" max="8" width="16.42578125" bestFit="1" customWidth="1"/>
    <col min="9" max="9" width="12.85546875" bestFit="1" customWidth="1"/>
    <col min="10" max="10" width="14.5703125" bestFit="1" customWidth="1"/>
    <col min="11" max="11" width="20" bestFit="1" customWidth="1"/>
    <col min="12" max="12" width="18.42578125" bestFit="1" customWidth="1"/>
    <col min="13" max="13" width="15.140625" bestFit="1" customWidth="1"/>
    <col min="14" max="14" width="15" bestFit="1" customWidth="1"/>
  </cols>
  <sheetData>
    <row r="2" spans="2:59" x14ac:dyDescent="0.25">
      <c r="B2" s="42"/>
      <c r="C2" s="42" t="s">
        <v>263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</row>
    <row r="4" spans="2:59" x14ac:dyDescent="0.25">
      <c r="D4" s="97" t="s">
        <v>211</v>
      </c>
      <c r="E4" s="100">
        <v>4.4600000000000001E-2</v>
      </c>
      <c r="F4" s="71"/>
      <c r="G4" s="97" t="s">
        <v>261</v>
      </c>
      <c r="H4" s="105">
        <f>'Operating model'!I34</f>
        <v>428588860</v>
      </c>
      <c r="I4" s="97"/>
      <c r="J4" s="71"/>
    </row>
    <row r="5" spans="2:59" x14ac:dyDescent="0.25">
      <c r="D5" s="97" t="s">
        <v>212</v>
      </c>
      <c r="E5" s="100">
        <v>2.3E-3</v>
      </c>
      <c r="F5" s="71"/>
      <c r="G5" s="97" t="s">
        <v>262</v>
      </c>
      <c r="H5" s="105">
        <f>'Operating model'!I38</f>
        <v>3868245421</v>
      </c>
      <c r="I5" s="97"/>
      <c r="J5" s="71"/>
    </row>
    <row r="6" spans="2:59" x14ac:dyDescent="0.25">
      <c r="D6" s="81" t="s">
        <v>213</v>
      </c>
      <c r="E6" s="109">
        <f>E4-E5</f>
        <v>4.2300000000000004E-2</v>
      </c>
      <c r="F6" s="71"/>
      <c r="G6" s="81" t="s">
        <v>223</v>
      </c>
      <c r="H6" s="106">
        <f>H4/H5</f>
        <v>0.11079670841805153</v>
      </c>
      <c r="I6" s="97"/>
      <c r="J6" s="71"/>
    </row>
    <row r="7" spans="2:59" x14ac:dyDescent="0.25">
      <c r="D7" s="97" t="s">
        <v>268</v>
      </c>
      <c r="E7" s="123">
        <v>8.4099999999999994E-2</v>
      </c>
      <c r="F7" s="71"/>
      <c r="G7" s="97"/>
      <c r="H7" s="122"/>
      <c r="I7" s="97"/>
      <c r="J7" s="71"/>
    </row>
    <row r="8" spans="2:59" x14ac:dyDescent="0.25">
      <c r="D8" s="81" t="s">
        <v>269</v>
      </c>
      <c r="E8" s="109">
        <f>E6+E7</f>
        <v>0.12640000000000001</v>
      </c>
      <c r="F8" s="71"/>
      <c r="G8" s="97"/>
      <c r="H8" s="122"/>
      <c r="I8" s="97"/>
      <c r="J8" s="71"/>
    </row>
    <row r="9" spans="2:59" x14ac:dyDescent="0.25">
      <c r="D9" s="97"/>
      <c r="E9" s="97"/>
      <c r="F9" s="71"/>
      <c r="G9" s="97"/>
      <c r="H9" s="97"/>
      <c r="I9" s="97"/>
      <c r="J9" s="71"/>
    </row>
    <row r="10" spans="2:59" x14ac:dyDescent="0.25">
      <c r="D10" s="97" t="s">
        <v>214</v>
      </c>
      <c r="E10" s="102">
        <v>0.3</v>
      </c>
      <c r="F10" s="71"/>
      <c r="G10" s="54" t="s">
        <v>287</v>
      </c>
      <c r="H10" s="97"/>
      <c r="I10" s="97"/>
      <c r="J10" s="71"/>
    </row>
    <row r="11" spans="2:59" x14ac:dyDescent="0.25">
      <c r="D11" s="97"/>
      <c r="E11" s="97"/>
      <c r="F11" s="71"/>
      <c r="G11" s="97" t="s">
        <v>266</v>
      </c>
      <c r="H11" s="119">
        <v>4.2000000000000003E-2</v>
      </c>
      <c r="I11" s="97"/>
      <c r="J11" s="71"/>
    </row>
    <row r="12" spans="2:59" x14ac:dyDescent="0.25">
      <c r="D12" s="97" t="s">
        <v>215</v>
      </c>
      <c r="E12" s="103">
        <v>4.4560000000000002E-2</v>
      </c>
      <c r="F12" s="71"/>
      <c r="G12" s="97" t="s">
        <v>267</v>
      </c>
      <c r="H12" s="119">
        <v>6.4000000000000001E-2</v>
      </c>
      <c r="I12" s="97"/>
      <c r="J12" s="71"/>
    </row>
    <row r="13" spans="2:59" x14ac:dyDescent="0.25">
      <c r="D13" s="97" t="str">
        <f>D5</f>
        <v>US Default Spread</v>
      </c>
      <c r="E13" s="104">
        <f>E5</f>
        <v>2.3E-3</v>
      </c>
      <c r="F13" s="71"/>
      <c r="G13" s="97"/>
      <c r="H13" s="97"/>
      <c r="I13" s="97"/>
      <c r="J13" s="71"/>
    </row>
    <row r="14" spans="2:59" x14ac:dyDescent="0.25">
      <c r="D14" s="81" t="s">
        <v>216</v>
      </c>
      <c r="E14" s="108">
        <f>SUM(E12:E13)</f>
        <v>4.6859999999999999E-2</v>
      </c>
      <c r="F14" s="71"/>
      <c r="G14" s="97"/>
      <c r="H14" s="97"/>
      <c r="I14" s="97"/>
      <c r="J14" s="71"/>
    </row>
    <row r="15" spans="2:59" x14ac:dyDescent="0.25">
      <c r="D15" s="97"/>
      <c r="E15" s="97"/>
      <c r="F15" s="71"/>
      <c r="G15" s="97"/>
      <c r="H15" s="97"/>
      <c r="I15" s="97"/>
      <c r="J15" s="71"/>
    </row>
    <row r="16" spans="2:59" x14ac:dyDescent="0.25">
      <c r="D16" s="97" t="s">
        <v>217</v>
      </c>
      <c r="E16" s="107">
        <f>E36*(1+(1-E10)*H6)</f>
        <v>0.59213901939709424</v>
      </c>
      <c r="F16" s="71"/>
      <c r="G16" s="97"/>
      <c r="H16" s="97"/>
      <c r="I16" s="97"/>
      <c r="J16" s="71"/>
    </row>
    <row r="17" spans="2:79" ht="15.75" thickBot="1" x14ac:dyDescent="0.3">
      <c r="D17" s="97" t="s">
        <v>263</v>
      </c>
      <c r="E17" s="101">
        <f>E14+E16*E8</f>
        <v>0.12170637205179272</v>
      </c>
      <c r="F17" s="71"/>
      <c r="G17" s="97"/>
      <c r="H17" s="97"/>
      <c r="I17" s="97"/>
      <c r="J17" s="71"/>
    </row>
    <row r="18" spans="2:79" ht="15.75" thickBot="1" x14ac:dyDescent="0.3">
      <c r="D18" s="113" t="s">
        <v>265</v>
      </c>
      <c r="E18" s="114">
        <f>(1+E17)*(1+H12)/(1+H11)-1</f>
        <v>0.14538923211430665</v>
      </c>
      <c r="F18" s="71"/>
      <c r="G18" s="97"/>
      <c r="H18" s="97"/>
      <c r="I18" s="97"/>
      <c r="J18" s="71"/>
    </row>
    <row r="21" spans="2:79" x14ac:dyDescent="0.25">
      <c r="B21" s="42"/>
      <c r="C21" s="42"/>
      <c r="D21" s="42" t="s">
        <v>218</v>
      </c>
      <c r="E21" s="42"/>
      <c r="F21" s="42"/>
      <c r="G21" s="42"/>
      <c r="H21" s="42"/>
      <c r="I21" s="27"/>
      <c r="J21" s="27"/>
      <c r="K21" s="27"/>
      <c r="L21" s="27"/>
      <c r="M21" s="27"/>
      <c r="N21" s="27"/>
      <c r="O21" s="27"/>
      <c r="P21" s="27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  <c r="BO21" s="42"/>
      <c r="BP21" s="42"/>
      <c r="BQ21" s="42"/>
      <c r="BR21" s="42"/>
      <c r="BS21" s="42"/>
      <c r="BT21" s="42"/>
      <c r="BU21" s="42"/>
      <c r="BV21" s="42"/>
      <c r="BW21" s="42"/>
      <c r="BX21" s="42"/>
      <c r="BY21" s="42"/>
      <c r="BZ21" s="42"/>
      <c r="CA21" s="42"/>
    </row>
    <row r="22" spans="2:79" x14ac:dyDescent="0.25">
      <c r="B22" s="42"/>
      <c r="C22" s="42"/>
      <c r="D22" s="42" t="s">
        <v>219</v>
      </c>
      <c r="E22" s="27" t="s">
        <v>220</v>
      </c>
      <c r="F22" s="9" t="s">
        <v>221</v>
      </c>
      <c r="G22" s="9" t="s">
        <v>222</v>
      </c>
      <c r="H22" s="68" t="s">
        <v>223</v>
      </c>
      <c r="I22" s="27" t="s">
        <v>224</v>
      </c>
      <c r="J22" s="27" t="s">
        <v>225</v>
      </c>
      <c r="K22" s="27" t="s">
        <v>226</v>
      </c>
      <c r="L22" s="27" t="s">
        <v>214</v>
      </c>
      <c r="M22" s="27" t="s">
        <v>227</v>
      </c>
      <c r="N22" s="27"/>
      <c r="O22" s="27"/>
      <c r="P22" s="27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</row>
    <row r="23" spans="2:79" x14ac:dyDescent="0.25">
      <c r="D23" t="s">
        <v>230</v>
      </c>
      <c r="E23" t="s">
        <v>231</v>
      </c>
      <c r="F23" s="4">
        <v>36650822402048</v>
      </c>
      <c r="G23" s="4">
        <v>28222332862464</v>
      </c>
      <c r="H23" s="93">
        <f t="shared" ref="H23:H34" si="0">G23/F23</f>
        <v>0.77003273085863888</v>
      </c>
      <c r="I23" s="95">
        <v>0.65700000000000003</v>
      </c>
      <c r="J23" t="s">
        <v>254</v>
      </c>
      <c r="K23" t="s">
        <v>255</v>
      </c>
      <c r="L23" s="96">
        <v>0.22</v>
      </c>
      <c r="M23" s="99">
        <f t="shared" ref="M23:M34" si="1">I23/(1+(1-L23)*H23)</f>
        <v>0.41046452631014507</v>
      </c>
      <c r="P23" s="94"/>
    </row>
    <row r="24" spans="2:79" x14ac:dyDescent="0.25">
      <c r="D24" t="s">
        <v>232</v>
      </c>
      <c r="E24" t="s">
        <v>233</v>
      </c>
      <c r="F24" s="4">
        <v>9478921519104</v>
      </c>
      <c r="G24" s="4">
        <v>8610153758720</v>
      </c>
      <c r="H24" s="93">
        <f t="shared" si="0"/>
        <v>0.90834740443487494</v>
      </c>
      <c r="I24" s="95">
        <v>0.37</v>
      </c>
      <c r="J24" t="s">
        <v>256</v>
      </c>
      <c r="K24" t="s">
        <v>255</v>
      </c>
      <c r="L24" s="96">
        <v>0.25</v>
      </c>
      <c r="M24" s="99">
        <f t="shared" si="1"/>
        <v>0.22007296802866333</v>
      </c>
      <c r="P24" s="94"/>
    </row>
    <row r="25" spans="2:79" x14ac:dyDescent="0.25">
      <c r="D25" t="s">
        <v>234</v>
      </c>
      <c r="E25" t="s">
        <v>235</v>
      </c>
      <c r="F25" s="4">
        <v>550319751168</v>
      </c>
      <c r="G25" s="4">
        <v>3829224960</v>
      </c>
      <c r="H25" s="93">
        <f t="shared" si="0"/>
        <v>6.9581819512616865E-3</v>
      </c>
      <c r="I25" s="95">
        <v>0.76400000000000001</v>
      </c>
      <c r="J25" t="s">
        <v>257</v>
      </c>
      <c r="K25" t="s">
        <v>255</v>
      </c>
      <c r="L25" s="96">
        <v>0.28000000000000003</v>
      </c>
      <c r="M25" s="99">
        <f t="shared" si="1"/>
        <v>0.76019152332528506</v>
      </c>
    </row>
    <row r="26" spans="2:79" x14ac:dyDescent="0.25">
      <c r="D26" t="s">
        <v>236</v>
      </c>
      <c r="E26" t="s">
        <v>237</v>
      </c>
      <c r="F26" s="4">
        <v>543860621312</v>
      </c>
      <c r="G26" s="4">
        <v>112150003712</v>
      </c>
      <c r="H26" s="93">
        <f t="shared" si="0"/>
        <v>0.20621092853064313</v>
      </c>
      <c r="I26" s="95">
        <v>0.55200000000000005</v>
      </c>
      <c r="J26" t="s">
        <v>257</v>
      </c>
      <c r="K26" t="s">
        <v>258</v>
      </c>
      <c r="L26" s="96">
        <v>0.28000000000000003</v>
      </c>
      <c r="M26" s="99">
        <f t="shared" si="1"/>
        <v>0.48063867746342015</v>
      </c>
    </row>
    <row r="27" spans="2:79" x14ac:dyDescent="0.25">
      <c r="D27" t="s">
        <v>238</v>
      </c>
      <c r="E27" t="s">
        <v>239</v>
      </c>
      <c r="F27" s="4">
        <v>524306153472</v>
      </c>
      <c r="G27" s="4">
        <v>122018996224</v>
      </c>
      <c r="H27" s="93">
        <f t="shared" si="0"/>
        <v>0.2327247075320017</v>
      </c>
      <c r="I27" s="95">
        <v>0.41799999999999998</v>
      </c>
      <c r="J27" t="s">
        <v>257</v>
      </c>
      <c r="K27" t="s">
        <v>255</v>
      </c>
      <c r="L27" s="96">
        <v>0.28000000000000003</v>
      </c>
      <c r="M27" s="99">
        <f t="shared" si="1"/>
        <v>0.35801103101066506</v>
      </c>
    </row>
    <row r="28" spans="2:79" x14ac:dyDescent="0.25">
      <c r="D28" t="s">
        <v>240</v>
      </c>
      <c r="E28" t="s">
        <v>241</v>
      </c>
      <c r="F28" s="4">
        <v>114867355648</v>
      </c>
      <c r="G28" s="4">
        <v>37360099328</v>
      </c>
      <c r="H28" s="93">
        <f t="shared" si="0"/>
        <v>0.32524557666746018</v>
      </c>
      <c r="I28" s="95">
        <v>0.45100000000000001</v>
      </c>
      <c r="J28" t="s">
        <v>256</v>
      </c>
      <c r="K28" t="s">
        <v>255</v>
      </c>
      <c r="L28" s="96">
        <v>0.25</v>
      </c>
      <c r="M28" s="99">
        <f t="shared" si="1"/>
        <v>0.36255937520213954</v>
      </c>
    </row>
    <row r="29" spans="2:79" x14ac:dyDescent="0.25">
      <c r="D29" t="s">
        <v>242</v>
      </c>
      <c r="E29" t="s">
        <v>243</v>
      </c>
      <c r="F29" s="4">
        <v>30969749504</v>
      </c>
      <c r="G29" s="4">
        <v>26705020928</v>
      </c>
      <c r="H29" s="93">
        <f t="shared" si="0"/>
        <v>0.86229373358511752</v>
      </c>
      <c r="I29" s="95">
        <v>0.86199999999999999</v>
      </c>
      <c r="J29" t="s">
        <v>260</v>
      </c>
      <c r="K29" t="s">
        <v>255</v>
      </c>
      <c r="L29" s="96">
        <v>0.28999999999999998</v>
      </c>
      <c r="M29" s="99">
        <f t="shared" si="1"/>
        <v>0.53466364898945473</v>
      </c>
    </row>
    <row r="30" spans="2:79" x14ac:dyDescent="0.25">
      <c r="D30" t="s">
        <v>244</v>
      </c>
      <c r="E30" t="s">
        <v>245</v>
      </c>
      <c r="F30" s="4">
        <v>9482753024</v>
      </c>
      <c r="G30" s="4">
        <v>2610895872</v>
      </c>
      <c r="H30" s="93">
        <f t="shared" si="0"/>
        <v>0.27533099991026405</v>
      </c>
      <c r="I30" s="95">
        <v>0.52500000000000002</v>
      </c>
      <c r="J30" t="s">
        <v>228</v>
      </c>
      <c r="K30" t="s">
        <v>259</v>
      </c>
      <c r="L30" s="96">
        <v>0.21</v>
      </c>
      <c r="M30" s="99">
        <f t="shared" si="1"/>
        <v>0.43120742953363744</v>
      </c>
    </row>
    <row r="31" spans="2:79" x14ac:dyDescent="0.25">
      <c r="D31" t="s">
        <v>246</v>
      </c>
      <c r="E31" t="s">
        <v>247</v>
      </c>
      <c r="F31" s="4">
        <v>5984071168</v>
      </c>
      <c r="G31" s="4">
        <v>4864254976</v>
      </c>
      <c r="H31" s="93">
        <f t="shared" si="0"/>
        <v>0.8128671667562628</v>
      </c>
      <c r="I31" s="95">
        <v>1.298</v>
      </c>
      <c r="J31" t="s">
        <v>228</v>
      </c>
      <c r="K31" t="s">
        <v>259</v>
      </c>
      <c r="L31" s="96">
        <v>0.21</v>
      </c>
      <c r="M31" s="99">
        <f t="shared" si="1"/>
        <v>0.79041993417317424</v>
      </c>
    </row>
    <row r="32" spans="2:79" x14ac:dyDescent="0.25">
      <c r="D32" t="s">
        <v>248</v>
      </c>
      <c r="E32" t="s">
        <v>249</v>
      </c>
      <c r="F32" s="4">
        <v>1837839488</v>
      </c>
      <c r="G32" s="4">
        <v>82702000</v>
      </c>
      <c r="H32" s="93">
        <f t="shared" si="0"/>
        <v>4.4999577242732527E-2</v>
      </c>
      <c r="I32" s="95">
        <v>0.61799999999999999</v>
      </c>
      <c r="J32" t="s">
        <v>228</v>
      </c>
      <c r="K32" t="s">
        <v>255</v>
      </c>
      <c r="L32" s="96">
        <v>0.21</v>
      </c>
      <c r="M32" s="99">
        <f t="shared" si="1"/>
        <v>0.59678450998314048</v>
      </c>
    </row>
    <row r="33" spans="2:59" x14ac:dyDescent="0.25">
      <c r="D33" t="s">
        <v>250</v>
      </c>
      <c r="E33" t="s">
        <v>251</v>
      </c>
      <c r="F33" s="4">
        <v>1038643520</v>
      </c>
      <c r="G33" s="4">
        <v>661193536</v>
      </c>
      <c r="H33" s="93">
        <f t="shared" si="0"/>
        <v>0.63659332896045029</v>
      </c>
      <c r="I33" s="95">
        <v>1.1990000000000001</v>
      </c>
      <c r="J33" t="s">
        <v>228</v>
      </c>
      <c r="K33" t="s">
        <v>259</v>
      </c>
      <c r="L33" s="96">
        <v>0.21</v>
      </c>
      <c r="M33" s="99">
        <f t="shared" si="1"/>
        <v>0.79778630342823753</v>
      </c>
    </row>
    <row r="34" spans="2:59" x14ac:dyDescent="0.25">
      <c r="D34" t="s">
        <v>252</v>
      </c>
      <c r="E34" t="s">
        <v>253</v>
      </c>
      <c r="F34" s="4">
        <v>235716656</v>
      </c>
      <c r="G34" s="4">
        <v>431720000</v>
      </c>
      <c r="H34" s="93">
        <f t="shared" si="0"/>
        <v>1.8315209766084581</v>
      </c>
      <c r="I34" s="95">
        <v>2.0209999999999999</v>
      </c>
      <c r="J34" t="s">
        <v>229</v>
      </c>
      <c r="K34" t="s">
        <v>259</v>
      </c>
      <c r="L34" s="96">
        <v>0.25</v>
      </c>
      <c r="M34" s="99">
        <f t="shared" si="1"/>
        <v>0.8514346642124665</v>
      </c>
    </row>
    <row r="35" spans="2:59" ht="15.75" thickBot="1" x14ac:dyDescent="0.3"/>
    <row r="36" spans="2:59" ht="15.75" thickBot="1" x14ac:dyDescent="0.3">
      <c r="D36" s="6" t="s">
        <v>270</v>
      </c>
      <c r="E36" s="98">
        <f>AVERAGE(M23:M34)</f>
        <v>0.54951954930503588</v>
      </c>
    </row>
    <row r="38" spans="2:59" x14ac:dyDescent="0.25">
      <c r="B38" s="42"/>
      <c r="C38" s="42" t="s">
        <v>114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BF90"/>
  <sheetViews>
    <sheetView zoomScale="80" zoomScaleNormal="80" workbookViewId="0">
      <pane ySplit="2" topLeftCell="A3" activePane="bottomLeft" state="frozen"/>
      <selection pane="bottomLeft" activeCell="J25" sqref="J25"/>
    </sheetView>
  </sheetViews>
  <sheetFormatPr defaultRowHeight="15" x14ac:dyDescent="0.25"/>
  <cols>
    <col min="1" max="3" width="1.7109375" customWidth="1"/>
    <col min="4" max="4" width="58.140625" bestFit="1" customWidth="1"/>
    <col min="5" max="5" width="5" bestFit="1" customWidth="1"/>
    <col min="6" max="6" width="16.28515625" bestFit="1" customWidth="1"/>
    <col min="7" max="7" width="16.42578125" bestFit="1" customWidth="1"/>
    <col min="8" max="8" width="20.28515625" style="137" bestFit="1" customWidth="1"/>
    <col min="9" max="9" width="15.140625" bestFit="1" customWidth="1"/>
    <col min="13" max="13" width="22" bestFit="1" customWidth="1"/>
  </cols>
  <sheetData>
    <row r="2" spans="2:58" x14ac:dyDescent="0.25">
      <c r="B2" s="42"/>
      <c r="C2" s="42" t="s">
        <v>283</v>
      </c>
      <c r="D2" s="42"/>
      <c r="E2" s="42"/>
      <c r="F2" s="42">
        <v>2024</v>
      </c>
      <c r="G2" s="42">
        <v>2025</v>
      </c>
      <c r="H2" s="140"/>
      <c r="I2" s="9">
        <v>2024</v>
      </c>
      <c r="J2" s="42">
        <v>2025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</row>
    <row r="3" spans="2:58" x14ac:dyDescent="0.25">
      <c r="D3" s="31"/>
      <c r="E3" s="31"/>
      <c r="F3" s="92"/>
      <c r="G3" s="92"/>
      <c r="H3" s="139"/>
    </row>
    <row r="4" spans="2:58" x14ac:dyDescent="0.25">
      <c r="D4" s="31" t="str">
        <f>'2024 Data'!C183</f>
        <v>Interest on short term loan me</v>
      </c>
      <c r="E4" s="31" t="str">
        <f>'2025 Data'!E6</f>
        <v>KSH</v>
      </c>
      <c r="F4" s="92">
        <f>'2024 Data'!P6</f>
        <v>1719502</v>
      </c>
      <c r="G4" s="92">
        <f>'2025 Data'!P6</f>
        <v>1888828</v>
      </c>
      <c r="H4" s="138" t="s">
        <v>278</v>
      </c>
      <c r="J4" s="39">
        <f t="shared" ref="J4:J23" si="0">IFERROR(G4/F4-1,0)</f>
        <v>9.8473860454945772E-2</v>
      </c>
    </row>
    <row r="5" spans="2:58" x14ac:dyDescent="0.25">
      <c r="D5" s="31" t="str">
        <f>'2025 Data'!D7</f>
        <v>Interest on short term loan Cu</v>
      </c>
      <c r="E5" s="31" t="str">
        <f>'2025 Data'!E7</f>
        <v>KSH</v>
      </c>
      <c r="F5" s="92">
        <f>'2024 Data'!P7</f>
        <v>6275706</v>
      </c>
      <c r="G5" s="92">
        <f>'2025 Data'!P7</f>
        <v>5875619</v>
      </c>
      <c r="H5" s="138" t="s">
        <v>278</v>
      </c>
      <c r="J5" s="39">
        <f t="shared" si="0"/>
        <v>-6.3751711759601259E-2</v>
      </c>
    </row>
    <row r="6" spans="2:58" x14ac:dyDescent="0.25">
      <c r="D6" s="31" t="str">
        <f>'2025 Data'!D8</f>
        <v>Interest on medium term loan m</v>
      </c>
      <c r="E6" s="31" t="str">
        <f>'2025 Data'!E8</f>
        <v>KSH</v>
      </c>
      <c r="F6" s="92">
        <f>'2024 Data'!P8</f>
        <v>5658096</v>
      </c>
      <c r="G6" s="92">
        <f>'2025 Data'!P8</f>
        <v>6262546</v>
      </c>
      <c r="H6" s="138" t="s">
        <v>278</v>
      </c>
      <c r="J6" s="39">
        <f t="shared" si="0"/>
        <v>0.10682922311675158</v>
      </c>
    </row>
    <row r="7" spans="2:58" x14ac:dyDescent="0.25">
      <c r="D7" s="31" t="str">
        <f>'2025 Data'!D9</f>
        <v>Interest on medium term loan C</v>
      </c>
      <c r="E7" s="31" t="str">
        <f>'2025 Data'!E9</f>
        <v>KSH</v>
      </c>
      <c r="F7" s="92">
        <f>'2024 Data'!P9</f>
        <v>8821027</v>
      </c>
      <c r="G7" s="92">
        <f>'2025 Data'!P9</f>
        <v>11708782</v>
      </c>
      <c r="H7" s="138" t="s">
        <v>278</v>
      </c>
      <c r="J7" s="39">
        <f t="shared" si="0"/>
        <v>0.32737174480930631</v>
      </c>
    </row>
    <row r="8" spans="2:58" x14ac:dyDescent="0.25">
      <c r="D8" s="31" t="str">
        <f>'2025 Data'!D10</f>
        <v>Interest on staff loan</v>
      </c>
      <c r="E8" s="31" t="str">
        <f>'2025 Data'!E10</f>
        <v>KSH</v>
      </c>
      <c r="F8" s="92">
        <f>'2024 Data'!P10</f>
        <v>0</v>
      </c>
      <c r="G8" s="92">
        <f>'2025 Data'!P10</f>
        <v>0</v>
      </c>
      <c r="H8" s="138" t="s">
        <v>278</v>
      </c>
      <c r="J8" s="39">
        <f t="shared" si="0"/>
        <v>0</v>
      </c>
    </row>
    <row r="9" spans="2:58" x14ac:dyDescent="0.25">
      <c r="D9" s="31" t="str">
        <f>'2025 Data'!D11</f>
        <v>Interest on development loan soc</v>
      </c>
      <c r="E9" s="31" t="str">
        <f>'2025 Data'!E11</f>
        <v>KSH</v>
      </c>
      <c r="F9" s="92">
        <f>'2024 Data'!P11</f>
        <v>0</v>
      </c>
      <c r="G9" s="92">
        <f>'2025 Data'!P11</f>
        <v>0</v>
      </c>
      <c r="H9" s="138" t="s">
        <v>278</v>
      </c>
      <c r="J9" s="39">
        <f t="shared" si="0"/>
        <v>0</v>
      </c>
    </row>
    <row r="10" spans="2:58" x14ac:dyDescent="0.25">
      <c r="D10" s="31" t="str">
        <f>'2025 Data'!D12</f>
        <v>Interest on overdraft members</v>
      </c>
      <c r="E10" s="31" t="str">
        <f>'2025 Data'!E12</f>
        <v>KSH</v>
      </c>
      <c r="F10" s="92">
        <f>'2024 Data'!P12</f>
        <v>44205</v>
      </c>
      <c r="G10" s="92">
        <f>'2025 Data'!P12</f>
        <v>75929</v>
      </c>
      <c r="H10" s="138" t="s">
        <v>278</v>
      </c>
      <c r="J10" s="39">
        <f t="shared" si="0"/>
        <v>0.71765637371338076</v>
      </c>
    </row>
    <row r="11" spans="2:58" x14ac:dyDescent="0.25">
      <c r="D11" s="31" t="str">
        <f>'2025 Data'!D13</f>
        <v>Interest on Overdue loan</v>
      </c>
      <c r="E11" s="31" t="str">
        <f>'2025 Data'!E13</f>
        <v>KSH</v>
      </c>
      <c r="F11" s="92">
        <f>'2024 Data'!P13</f>
        <v>153248</v>
      </c>
      <c r="G11" s="92">
        <f>'2025 Data'!P13</f>
        <v>127199</v>
      </c>
      <c r="H11" s="138" t="s">
        <v>278</v>
      </c>
      <c r="J11" s="39">
        <f t="shared" si="0"/>
        <v>-0.16997937982877431</v>
      </c>
    </row>
    <row r="12" spans="2:58" x14ac:dyDescent="0.25">
      <c r="D12" s="31" t="str">
        <f>'2025 Data'!D14</f>
        <v>Advance interest</v>
      </c>
      <c r="E12" s="31" t="str">
        <f>'2025 Data'!E14</f>
        <v>KSH</v>
      </c>
      <c r="F12" s="92">
        <f>'2024 Data'!P14</f>
        <v>4796459</v>
      </c>
      <c r="G12" s="92">
        <f>'2025 Data'!P14</f>
        <v>5692776</v>
      </c>
      <c r="H12" s="138" t="s">
        <v>278</v>
      </c>
      <c r="J12" s="39">
        <f t="shared" si="0"/>
        <v>0.18687056430587656</v>
      </c>
    </row>
    <row r="13" spans="2:58" x14ac:dyDescent="0.25">
      <c r="D13" s="31" t="str">
        <f>'2025 Data'!D15</f>
        <v>Interest on shirika loan</v>
      </c>
      <c r="E13" s="31" t="str">
        <f>'2025 Data'!E15</f>
        <v>KSH</v>
      </c>
      <c r="F13" s="92">
        <f>'2024 Data'!P15</f>
        <v>664086</v>
      </c>
      <c r="G13" s="92">
        <f>'2025 Data'!P15</f>
        <v>539878</v>
      </c>
      <c r="H13" s="138" t="s">
        <v>278</v>
      </c>
      <c r="J13" s="39">
        <f t="shared" si="0"/>
        <v>-0.18703601641956014</v>
      </c>
    </row>
    <row r="14" spans="2:58" x14ac:dyDescent="0.25">
      <c r="D14" s="31" t="str">
        <f>'2025 Data'!D16</f>
        <v>Interest on bonus advance loan</v>
      </c>
      <c r="E14" s="31" t="str">
        <f>'2025 Data'!E16</f>
        <v>KSH</v>
      </c>
      <c r="F14" s="92">
        <f>'2024 Data'!P16</f>
        <v>0</v>
      </c>
      <c r="G14" s="92">
        <f>'2025 Data'!P16</f>
        <v>0</v>
      </c>
      <c r="H14" s="138" t="s">
        <v>278</v>
      </c>
      <c r="J14" s="39">
        <f t="shared" si="0"/>
        <v>0</v>
      </c>
    </row>
    <row r="15" spans="2:58" x14ac:dyDescent="0.25">
      <c r="D15" s="31" t="str">
        <f>'2025 Data'!D17</f>
        <v>Interest on Premium Financing</v>
      </c>
      <c r="E15" s="31" t="str">
        <f>'2025 Data'!E17</f>
        <v>KSH</v>
      </c>
      <c r="F15" s="92">
        <f>'2024 Data'!P17</f>
        <v>640721</v>
      </c>
      <c r="G15" s="92">
        <f>'2025 Data'!P17</f>
        <v>32414</v>
      </c>
      <c r="H15" s="138" t="s">
        <v>278</v>
      </c>
      <c r="J15" s="39">
        <f t="shared" si="0"/>
        <v>-0.94941011766431882</v>
      </c>
    </row>
    <row r="16" spans="2:58" x14ac:dyDescent="0.25">
      <c r="D16" s="31" t="str">
        <f>'2025 Data'!D18</f>
        <v>Interest on MFI loan</v>
      </c>
      <c r="E16" s="31" t="str">
        <f>'2025 Data'!E18</f>
        <v>KSH</v>
      </c>
      <c r="F16" s="92">
        <f>'2024 Data'!P18</f>
        <v>2692066</v>
      </c>
      <c r="G16" s="92">
        <f>'2025 Data'!P18</f>
        <v>2191585</v>
      </c>
      <c r="H16" s="138" t="s">
        <v>278</v>
      </c>
      <c r="J16" s="39">
        <f t="shared" si="0"/>
        <v>-0.18590963223041335</v>
      </c>
    </row>
    <row r="17" spans="4:10" x14ac:dyDescent="0.25">
      <c r="D17" s="31" t="str">
        <f>'2025 Data'!D19</f>
        <v>Interest on Jijenge Loan</v>
      </c>
      <c r="E17" s="31" t="str">
        <f>'2025 Data'!E19</f>
        <v>KSH</v>
      </c>
      <c r="F17" s="92">
        <f>'2024 Data'!P19</f>
        <v>11037725</v>
      </c>
      <c r="G17" s="92">
        <f>'2025 Data'!P19</f>
        <v>9274439</v>
      </c>
      <c r="H17" s="138" t="s">
        <v>278</v>
      </c>
      <c r="J17" s="39">
        <f t="shared" si="0"/>
        <v>-0.15975085445596804</v>
      </c>
    </row>
    <row r="18" spans="4:10" x14ac:dyDescent="0.25">
      <c r="D18" s="31" t="str">
        <f>'2025 Data'!D20</f>
        <v>Interest on Soko loan</v>
      </c>
      <c r="E18" s="31" t="str">
        <f>'2025 Data'!E20</f>
        <v>KSH</v>
      </c>
      <c r="F18" s="92">
        <f>'2024 Data'!P20</f>
        <v>0</v>
      </c>
      <c r="G18" s="92">
        <f>'2025 Data'!P20</f>
        <v>0</v>
      </c>
      <c r="H18" s="138" t="s">
        <v>278</v>
      </c>
      <c r="J18" s="39">
        <f t="shared" si="0"/>
        <v>0</v>
      </c>
    </row>
    <row r="19" spans="4:10" x14ac:dyDescent="0.25">
      <c r="D19" s="31" t="str">
        <f>'2025 Data'!D21</f>
        <v>Interest on Inuka loan</v>
      </c>
      <c r="E19" s="31" t="str">
        <f>'2025 Data'!E21</f>
        <v>KSH</v>
      </c>
      <c r="F19" s="92">
        <f>'2024 Data'!P21</f>
        <v>1733724</v>
      </c>
      <c r="G19" s="92">
        <f>'2025 Data'!P21</f>
        <v>1973384</v>
      </c>
      <c r="H19" s="138" t="s">
        <v>278</v>
      </c>
      <c r="J19" s="39">
        <f t="shared" si="0"/>
        <v>0.13823422874690561</v>
      </c>
    </row>
    <row r="20" spans="4:10" x14ac:dyDescent="0.25">
      <c r="D20" s="31" t="str">
        <f>'2025 Data'!D22</f>
        <v>Interest on youthbiz loan</v>
      </c>
      <c r="E20" s="31" t="str">
        <f>'2025 Data'!E22</f>
        <v>KSH</v>
      </c>
      <c r="F20" s="92">
        <f>'2024 Data'!P22</f>
        <v>0</v>
      </c>
      <c r="G20" s="92">
        <f>'2025 Data'!P22</f>
        <v>0</v>
      </c>
      <c r="H20" s="138" t="s">
        <v>278</v>
      </c>
      <c r="J20" s="39">
        <f t="shared" si="0"/>
        <v>0</v>
      </c>
    </row>
    <row r="21" spans="4:10" x14ac:dyDescent="0.25">
      <c r="D21" s="31" t="str">
        <f>'2025 Data'!D23</f>
        <v>Interest on Kwamua Biashara</v>
      </c>
      <c r="E21" s="31" t="str">
        <f>'2025 Data'!E23</f>
        <v>KSH</v>
      </c>
      <c r="F21" s="92">
        <f>'2024 Data'!P23</f>
        <v>250725</v>
      </c>
      <c r="G21" s="92">
        <f>'2025 Data'!P23</f>
        <v>2178926</v>
      </c>
      <c r="H21" s="138" t="s">
        <v>278</v>
      </c>
      <c r="J21" s="39">
        <f t="shared" si="0"/>
        <v>7.6905015455179981</v>
      </c>
    </row>
    <row r="22" spans="4:10" x14ac:dyDescent="0.25">
      <c r="D22" s="31" t="str">
        <f>'2025 Data'!D24</f>
        <v>Interest on Uni-Mobiloan</v>
      </c>
      <c r="E22" s="31" t="str">
        <f>'2025 Data'!E24</f>
        <v>KSH</v>
      </c>
      <c r="F22" s="92">
        <f>'2024 Data'!P24</f>
        <v>666747</v>
      </c>
      <c r="G22" s="92">
        <f>'2025 Data'!P24</f>
        <v>1220222</v>
      </c>
      <c r="H22" s="138" t="s">
        <v>278</v>
      </c>
      <c r="J22" s="39">
        <f t="shared" si="0"/>
        <v>0.83011247144719058</v>
      </c>
    </row>
    <row r="23" spans="4:10" s="18" customFormat="1" x14ac:dyDescent="0.25">
      <c r="D23" s="19" t="str">
        <f>'2025 Data'!D25</f>
        <v>Total interest on loan Portfolio</v>
      </c>
      <c r="E23" s="19" t="str">
        <f>'2025 Data'!E25</f>
        <v>KSH</v>
      </c>
      <c r="F23" s="134">
        <f>'2024 Data'!P25</f>
        <v>45154037</v>
      </c>
      <c r="G23" s="134">
        <f>'2025 Data'!P25</f>
        <v>49042527</v>
      </c>
      <c r="H23" s="138" t="s">
        <v>278</v>
      </c>
      <c r="J23" s="64">
        <f t="shared" si="0"/>
        <v>8.6116109618282755E-2</v>
      </c>
    </row>
    <row r="24" spans="4:10" x14ac:dyDescent="0.25">
      <c r="D24" s="31"/>
      <c r="E24" s="31"/>
      <c r="F24" s="92"/>
      <c r="G24" s="92"/>
      <c r="H24" s="139"/>
    </row>
    <row r="25" spans="4:10" x14ac:dyDescent="0.25">
      <c r="D25" s="31" t="str">
        <f>'2025 Data'!D27</f>
        <v>Loan Processing fee</v>
      </c>
      <c r="E25" s="31" t="str">
        <f>'2025 Data'!E27</f>
        <v>KSH</v>
      </c>
      <c r="F25" s="92">
        <f>'2024 Data'!P27</f>
        <v>360971</v>
      </c>
      <c r="G25" s="92">
        <f>'2025 Data'!P27</f>
        <v>388900</v>
      </c>
      <c r="H25" s="138" t="s">
        <v>278</v>
      </c>
      <c r="J25" s="39">
        <f t="shared" ref="J25:J31" si="1">IFERROR(G25/F25-1,0)</f>
        <v>7.7371866438024073E-2</v>
      </c>
    </row>
    <row r="26" spans="4:10" x14ac:dyDescent="0.25">
      <c r="D26" s="31" t="str">
        <f>'2025 Data'!D28</f>
        <v>Other loan recovey inome</v>
      </c>
      <c r="E26" s="31" t="str">
        <f>'2025 Data'!E28</f>
        <v>KSH</v>
      </c>
      <c r="F26" s="92">
        <f>'2024 Data'!P28</f>
        <v>45978</v>
      </c>
      <c r="G26" s="92">
        <f>'2025 Data'!P28</f>
        <v>81554</v>
      </c>
      <c r="H26" s="138" t="s">
        <v>278</v>
      </c>
      <c r="J26" s="39">
        <f t="shared" si="1"/>
        <v>0.77376136413067109</v>
      </c>
    </row>
    <row r="27" spans="4:10" x14ac:dyDescent="0.25">
      <c r="D27" s="31" t="str">
        <f>'2025 Data'!D29</f>
        <v>Ledger fee on loans</v>
      </c>
      <c r="E27" s="31" t="str">
        <f>'2025 Data'!E29</f>
        <v>KSH</v>
      </c>
      <c r="F27" s="92">
        <f>'2024 Data'!P29</f>
        <v>1582370</v>
      </c>
      <c r="G27" s="92">
        <f>'2025 Data'!P29</f>
        <v>1553610</v>
      </c>
      <c r="H27" s="138" t="s">
        <v>278</v>
      </c>
      <c r="J27" s="39">
        <f t="shared" si="1"/>
        <v>-1.8175268742455897E-2</v>
      </c>
    </row>
    <row r="28" spans="4:10" x14ac:dyDescent="0.25">
      <c r="D28" s="31" t="str">
        <f>'2025 Data'!D30</f>
        <v>Ledger fee on MFI loan</v>
      </c>
      <c r="E28" s="31" t="str">
        <f>'2025 Data'!E30</f>
        <v>KSH</v>
      </c>
      <c r="F28" s="92">
        <f>'2024 Data'!P30</f>
        <v>769920</v>
      </c>
      <c r="G28" s="92">
        <f>'2025 Data'!P30</f>
        <v>595852</v>
      </c>
      <c r="H28" s="138" t="s">
        <v>278</v>
      </c>
      <c r="J28" s="39">
        <f t="shared" si="1"/>
        <v>-0.22608582709891933</v>
      </c>
    </row>
    <row r="29" spans="4:10" x14ac:dyDescent="0.25">
      <c r="D29" s="31" t="str">
        <f>'2025 Data'!D31</f>
        <v>MFI loan procesing fee</v>
      </c>
      <c r="E29" s="31" t="str">
        <f>'2025 Data'!E31</f>
        <v>KSH</v>
      </c>
      <c r="F29" s="92">
        <f>'2024 Data'!P31</f>
        <v>48800</v>
      </c>
      <c r="G29" s="92">
        <f>'2025 Data'!P31</f>
        <v>30800</v>
      </c>
      <c r="H29" s="138" t="s">
        <v>278</v>
      </c>
      <c r="J29" s="39">
        <f t="shared" si="1"/>
        <v>-0.36885245901639341</v>
      </c>
    </row>
    <row r="30" spans="4:10" x14ac:dyDescent="0.25">
      <c r="D30" s="31" t="str">
        <f>'2025 Data'!D32</f>
        <v>MFI other incomes</v>
      </c>
      <c r="E30" s="31" t="str">
        <f>'2025 Data'!E32</f>
        <v>KSH</v>
      </c>
      <c r="F30" s="92">
        <f>'2024 Data'!P32</f>
        <v>24397</v>
      </c>
      <c r="G30" s="92">
        <f>'2025 Data'!P32</f>
        <v>14500</v>
      </c>
      <c r="H30" s="138" t="s">
        <v>278</v>
      </c>
      <c r="J30" s="39">
        <f t="shared" si="1"/>
        <v>-0.40566463089724147</v>
      </c>
    </row>
    <row r="31" spans="4:10" s="18" customFormat="1" x14ac:dyDescent="0.25">
      <c r="D31" s="19" t="str">
        <f>'2025 Data'!D33</f>
        <v>Total fees and Commision on loan Portfolio</v>
      </c>
      <c r="E31" s="19" t="str">
        <f>'2025 Data'!E33</f>
        <v>KSH</v>
      </c>
      <c r="F31" s="134">
        <f>'2024 Data'!P33</f>
        <v>2832436</v>
      </c>
      <c r="G31" s="134">
        <f>'2025 Data'!P33</f>
        <v>2665216</v>
      </c>
      <c r="H31" s="138" t="s">
        <v>278</v>
      </c>
      <c r="J31" s="64">
        <f t="shared" si="1"/>
        <v>-5.9037521059610909E-2</v>
      </c>
    </row>
    <row r="32" spans="4:10" x14ac:dyDescent="0.25">
      <c r="D32" s="31"/>
      <c r="E32" s="31"/>
      <c r="F32" s="92"/>
      <c r="G32" s="92"/>
      <c r="H32" s="139"/>
    </row>
    <row r="33" spans="4:10" x14ac:dyDescent="0.25">
      <c r="D33" s="31" t="str">
        <f>'2025 Data'!D35</f>
        <v>Interest on treasury bonds</v>
      </c>
      <c r="E33" s="31" t="str">
        <f>'2025 Data'!E35</f>
        <v>KSH</v>
      </c>
      <c r="F33" s="92">
        <f>'2024 Data'!P35</f>
        <v>1099913</v>
      </c>
      <c r="G33" s="92">
        <f>'2025 Data'!P35</f>
        <v>1108086</v>
      </c>
      <c r="H33" s="138" t="s">
        <v>278</v>
      </c>
      <c r="J33" s="39">
        <f>IFERROR(G33/F33-1,0)</f>
        <v>7.4305876919356084E-3</v>
      </c>
    </row>
    <row r="34" spans="4:10" x14ac:dyDescent="0.25">
      <c r="D34" s="31" t="str">
        <f>'2025 Data'!D36</f>
        <v>Discount on infrastructure Bonds</v>
      </c>
      <c r="E34" s="31" t="str">
        <f>'2025 Data'!E36</f>
        <v>KSH</v>
      </c>
      <c r="F34" s="92">
        <f>'2024 Data'!P36</f>
        <v>14791</v>
      </c>
      <c r="G34" s="92">
        <f>'2025 Data'!P36</f>
        <v>0</v>
      </c>
      <c r="H34" s="138" t="s">
        <v>278</v>
      </c>
      <c r="J34" s="39">
        <f>IFERROR(G34/F34-1,0)</f>
        <v>-1</v>
      </c>
    </row>
    <row r="35" spans="4:10" x14ac:dyDescent="0.25">
      <c r="D35" s="31" t="str">
        <f>'2025 Data'!D37</f>
        <v>Interest on corporate Bonds</v>
      </c>
      <c r="E35" s="31" t="str">
        <f>'2025 Data'!E37</f>
        <v>KSH</v>
      </c>
      <c r="F35" s="92">
        <f>'2024 Data'!P37</f>
        <v>1950000</v>
      </c>
      <c r="G35" s="92">
        <f>'2025 Data'!P37</f>
        <v>1950000</v>
      </c>
      <c r="H35" s="138" t="s">
        <v>278</v>
      </c>
      <c r="J35" s="39">
        <f>IFERROR(G35/F35-1,0)</f>
        <v>0</v>
      </c>
    </row>
    <row r="36" spans="4:10" s="18" customFormat="1" x14ac:dyDescent="0.25">
      <c r="D36" s="19" t="str">
        <f>'2025 Data'!D38</f>
        <v>Total Government Securities</v>
      </c>
      <c r="E36" s="19" t="str">
        <f>'2025 Data'!E38</f>
        <v>KSH</v>
      </c>
      <c r="F36" s="134">
        <f>'2024 Data'!P39</f>
        <v>3064704</v>
      </c>
      <c r="G36" s="134">
        <f>'2025 Data'!P38</f>
        <v>3058086</v>
      </c>
      <c r="H36" s="138" t="s">
        <v>278</v>
      </c>
      <c r="J36" s="64">
        <f>IFERROR(G36/F36-1,0)</f>
        <v>-2.1594255105876758E-3</v>
      </c>
    </row>
    <row r="37" spans="4:10" x14ac:dyDescent="0.25">
      <c r="D37" s="31"/>
      <c r="E37" s="31"/>
      <c r="F37" s="92"/>
      <c r="G37" s="92"/>
      <c r="H37" s="139"/>
      <c r="J37" s="39"/>
    </row>
    <row r="38" spans="4:10" x14ac:dyDescent="0.25">
      <c r="D38" s="31" t="str">
        <f>'2025 Data'!D40</f>
        <v>Interest on fixed deposit</v>
      </c>
      <c r="E38" s="31" t="str">
        <f>'2025 Data'!E40</f>
        <v>KSH</v>
      </c>
      <c r="F38" s="92">
        <f>'2024 Data'!P41</f>
        <v>0</v>
      </c>
      <c r="G38" s="92">
        <f>'2025 Data'!P40</f>
        <v>0</v>
      </c>
      <c r="H38" s="138" t="s">
        <v>278</v>
      </c>
      <c r="J38" s="39">
        <f>IFERROR(G38/F38-1,0)</f>
        <v>0</v>
      </c>
    </row>
    <row r="39" spans="4:10" x14ac:dyDescent="0.25">
      <c r="D39" s="31" t="str">
        <f>'2025 Data'!D41</f>
        <v>Interest on call deposit</v>
      </c>
      <c r="E39" s="31" t="str">
        <f>'2025 Data'!E41</f>
        <v>KSH</v>
      </c>
      <c r="F39" s="92">
        <f>'2024 Data'!P42</f>
        <v>0</v>
      </c>
      <c r="G39" s="92">
        <f>'2025 Data'!P41</f>
        <v>0</v>
      </c>
      <c r="H39" s="138" t="s">
        <v>278</v>
      </c>
      <c r="J39" s="39">
        <f>IFERROR(G39/F39-1,0)</f>
        <v>0</v>
      </c>
    </row>
    <row r="40" spans="4:10" x14ac:dyDescent="0.25">
      <c r="D40" s="31" t="str">
        <f>'2025 Data'!D42</f>
        <v>Total deposit with bank</v>
      </c>
      <c r="E40" s="31" t="str">
        <f>'2025 Data'!E42</f>
        <v>KSH</v>
      </c>
      <c r="F40" s="92">
        <f>'2024 Data'!P43</f>
        <v>0</v>
      </c>
      <c r="G40" s="92">
        <f>'2025 Data'!P42</f>
        <v>0</v>
      </c>
      <c r="H40" s="138" t="s">
        <v>278</v>
      </c>
      <c r="J40" s="39">
        <f>IFERROR(G40/F40-1,0)</f>
        <v>0</v>
      </c>
    </row>
    <row r="41" spans="4:10" x14ac:dyDescent="0.25">
      <c r="D41" s="31"/>
      <c r="E41" s="31"/>
      <c r="F41" s="31"/>
      <c r="G41" s="31"/>
      <c r="H41" s="139"/>
      <c r="J41" s="39"/>
    </row>
    <row r="42" spans="4:10" x14ac:dyDescent="0.25">
      <c r="D42" s="31" t="str">
        <f>'2025 Data'!D44</f>
        <v>Interest Income From Financial Investment</v>
      </c>
      <c r="E42" s="31" t="str">
        <f>'2025 Data'!E44</f>
        <v>KSH</v>
      </c>
      <c r="F42" s="92">
        <f>'2024 Data'!P45</f>
        <v>3064704</v>
      </c>
      <c r="G42" s="92">
        <f>'2025 Data'!P44</f>
        <v>3058086</v>
      </c>
      <c r="H42" s="138" t="s">
        <v>278</v>
      </c>
      <c r="J42" s="39">
        <f>IFERROR(G42/F42-1,0)</f>
        <v>-2.1594255105876758E-3</v>
      </c>
    </row>
    <row r="43" spans="4:10" x14ac:dyDescent="0.25">
      <c r="D43" s="31"/>
      <c r="E43" s="31"/>
      <c r="F43" s="92"/>
      <c r="G43" s="92"/>
      <c r="H43" s="139"/>
      <c r="J43" s="39"/>
    </row>
    <row r="44" spans="4:10" x14ac:dyDescent="0.25">
      <c r="D44" s="31" t="str">
        <f>'2025 Data'!D46</f>
        <v>Salary Processiong Charges</v>
      </c>
      <c r="E44" s="31" t="str">
        <f>'2025 Data'!E46</f>
        <v>KSH</v>
      </c>
      <c r="F44" s="92">
        <f>'2024 Data'!P47</f>
        <v>675330</v>
      </c>
      <c r="G44" s="92">
        <f>'2025 Data'!P46</f>
        <v>601200</v>
      </c>
      <c r="H44" s="138" t="s">
        <v>278</v>
      </c>
      <c r="J44" s="39">
        <f t="shared" ref="J44:J49" si="2">IFERROR(G44/F44-1,0)</f>
        <v>-0.10976855759406512</v>
      </c>
    </row>
    <row r="45" spans="4:10" x14ac:dyDescent="0.25">
      <c r="D45" s="31" t="str">
        <f>'2025 Data'!D47</f>
        <v>Withdrawal transaction charge</v>
      </c>
      <c r="E45" s="31" t="str">
        <f>'2025 Data'!E47</f>
        <v>KSH</v>
      </c>
      <c r="F45" s="92">
        <f>'2024 Data'!P48</f>
        <v>2489435</v>
      </c>
      <c r="G45" s="92">
        <f>'2025 Data'!P47</f>
        <v>2490960</v>
      </c>
      <c r="H45" s="138" t="s">
        <v>278</v>
      </c>
      <c r="J45" s="39">
        <f t="shared" si="2"/>
        <v>6.125888002699309E-4</v>
      </c>
    </row>
    <row r="46" spans="4:10" x14ac:dyDescent="0.25">
      <c r="D46" s="31" t="str">
        <f>'2025 Data'!D48</f>
        <v>Mobile Banking cash withdrawal and notification charge</v>
      </c>
      <c r="E46" s="31" t="str">
        <f>'2025 Data'!E48</f>
        <v>KSH</v>
      </c>
      <c r="F46" s="92">
        <f>'2024 Data'!P49</f>
        <v>1570714</v>
      </c>
      <c r="G46" s="92">
        <f>'2025 Data'!P48</f>
        <v>1763913</v>
      </c>
      <c r="H46" s="138" t="s">
        <v>278</v>
      </c>
      <c r="J46" s="39">
        <f t="shared" si="2"/>
        <v>0.12300074997739885</v>
      </c>
    </row>
    <row r="47" spans="4:10" x14ac:dyDescent="0.25">
      <c r="D47" s="31" t="str">
        <f>'2025 Data'!D49</f>
        <v>Ledger fee on charging customers</v>
      </c>
      <c r="E47" s="31" t="str">
        <f>'2025 Data'!E49</f>
        <v>KSH</v>
      </c>
      <c r="F47" s="92">
        <f>'2024 Data'!P50</f>
        <v>1159399</v>
      </c>
      <c r="G47" s="92">
        <f>'2025 Data'!P49</f>
        <v>1445645</v>
      </c>
      <c r="H47" s="138" t="s">
        <v>278</v>
      </c>
      <c r="J47" s="39">
        <f t="shared" si="2"/>
        <v>0.24689170854899833</v>
      </c>
    </row>
    <row r="48" spans="4:10" x14ac:dyDescent="0.25">
      <c r="D48" s="31" t="str">
        <f>'2025 Data'!D50</f>
        <v xml:space="preserve">Other Operating Income </v>
      </c>
      <c r="E48" s="31" t="str">
        <f>'2025 Data'!E50</f>
        <v>KSH</v>
      </c>
      <c r="F48" s="92">
        <f>'2024 Data'!P51</f>
        <v>2014714</v>
      </c>
      <c r="G48" s="92">
        <f>'2025 Data'!P50</f>
        <v>2219915</v>
      </c>
      <c r="H48" s="138" t="s">
        <v>278</v>
      </c>
      <c r="J48" s="39">
        <f t="shared" si="2"/>
        <v>0.10185118086239542</v>
      </c>
    </row>
    <row r="49" spans="4:13" s="18" customFormat="1" x14ac:dyDescent="0.25">
      <c r="D49" s="19" t="str">
        <f>'2025 Data'!D51</f>
        <v>Total other operating income</v>
      </c>
      <c r="E49" s="19" t="str">
        <f>'2025 Data'!E51</f>
        <v>KSH</v>
      </c>
      <c r="F49" s="134">
        <f>'2024 Data'!P52</f>
        <v>7909592</v>
      </c>
      <c r="G49" s="134">
        <f>'2025 Data'!P51</f>
        <v>8521633</v>
      </c>
      <c r="H49" s="138" t="s">
        <v>278</v>
      </c>
      <c r="J49" s="64">
        <f t="shared" si="2"/>
        <v>7.7379591766553846E-2</v>
      </c>
    </row>
    <row r="50" spans="4:13" x14ac:dyDescent="0.25">
      <c r="D50" s="31"/>
      <c r="E50" s="31"/>
      <c r="F50" s="92"/>
      <c r="G50" s="92"/>
      <c r="H50" s="139"/>
      <c r="J50" s="39"/>
    </row>
    <row r="51" spans="4:13" x14ac:dyDescent="0.25">
      <c r="D51" s="31" t="str">
        <f>'2025 Data'!D53</f>
        <v>Other Income</v>
      </c>
      <c r="E51" s="31" t="str">
        <f>'2025 Data'!E53</f>
        <v>KSH</v>
      </c>
      <c r="F51" s="92">
        <f>'2024 Data'!P54</f>
        <v>0</v>
      </c>
      <c r="G51" s="92">
        <f>'2025 Data'!P53</f>
        <v>0</v>
      </c>
      <c r="H51" s="138" t="s">
        <v>278</v>
      </c>
      <c r="J51" s="39">
        <f>IFERROR(G51/F51-1,0)</f>
        <v>0</v>
      </c>
    </row>
    <row r="52" spans="4:13" ht="15.75" thickBot="1" x14ac:dyDescent="0.3">
      <c r="D52" s="31"/>
      <c r="E52" s="31"/>
      <c r="F52" s="92"/>
      <c r="G52" s="92"/>
      <c r="H52" s="139"/>
      <c r="J52" s="39"/>
    </row>
    <row r="53" spans="4:13" s="18" customFormat="1" ht="15.75" thickBot="1" x14ac:dyDescent="0.3">
      <c r="D53" s="87" t="str">
        <f>'2025 Data'!D55</f>
        <v>Total Revenue</v>
      </c>
      <c r="E53" s="50" t="str">
        <f>'2025 Data'!E55</f>
        <v>KSH</v>
      </c>
      <c r="F53" s="142">
        <f>'2024 Data'!P56</f>
        <v>58960769</v>
      </c>
      <c r="G53" s="142">
        <f>'2025 Data'!P55</f>
        <v>63287462</v>
      </c>
      <c r="H53" s="145" t="s">
        <v>278</v>
      </c>
      <c r="I53" s="7"/>
      <c r="J53" s="144">
        <f>IFERROR(G53/F53-1,0)</f>
        <v>7.3382574097702102E-2</v>
      </c>
    </row>
    <row r="54" spans="4:13" x14ac:dyDescent="0.25">
      <c r="D54" s="31"/>
      <c r="E54" s="31"/>
      <c r="F54" s="92"/>
      <c r="G54" s="92"/>
      <c r="H54" s="139"/>
    </row>
    <row r="55" spans="4:13" x14ac:dyDescent="0.25">
      <c r="D55" s="31" t="str">
        <f>'2025 Data'!D57</f>
        <v>Interest on savings</v>
      </c>
      <c r="E55" s="31" t="str">
        <f>'2025 Data'!E57</f>
        <v>KSH</v>
      </c>
      <c r="F55" s="92">
        <f>'2024 Data'!P58</f>
        <v>-13378596</v>
      </c>
      <c r="G55" s="92">
        <f>'2025 Data'!P57</f>
        <v>-22190926</v>
      </c>
      <c r="H55" s="138" t="s">
        <v>279</v>
      </c>
      <c r="I55" s="39">
        <f t="shared" ref="I55:J58" si="3">-F55/F$53</f>
        <v>0.22690674200670619</v>
      </c>
      <c r="J55" s="39">
        <f t="shared" si="3"/>
        <v>0.35063700295012623</v>
      </c>
      <c r="M55" s="115"/>
    </row>
    <row r="56" spans="4:13" x14ac:dyDescent="0.25">
      <c r="D56" s="31" t="str">
        <f>'2025 Data'!D58</f>
        <v xml:space="preserve">Interest on fixed deposits </v>
      </c>
      <c r="E56" s="31" t="str">
        <f>'2025 Data'!E58</f>
        <v>KSH</v>
      </c>
      <c r="F56" s="92">
        <f>'2024 Data'!P59</f>
        <v>-503412</v>
      </c>
      <c r="G56" s="92">
        <f>'2025 Data'!P58</f>
        <v>-573312</v>
      </c>
      <c r="H56" s="138" t="s">
        <v>279</v>
      </c>
      <c r="I56" s="39">
        <f t="shared" si="3"/>
        <v>8.5380840266856082E-3</v>
      </c>
      <c r="J56" s="39">
        <f t="shared" si="3"/>
        <v>9.0588559231526769E-3</v>
      </c>
    </row>
    <row r="57" spans="4:13" x14ac:dyDescent="0.25">
      <c r="D57" s="31" t="str">
        <f>'2025 Data'!D59</f>
        <v>Interest on Diaspora jijenge savings</v>
      </c>
      <c r="E57" s="31" t="str">
        <f>'2025 Data'!E59</f>
        <v>KSH</v>
      </c>
      <c r="F57" s="92">
        <f>'2024 Data'!P60</f>
        <v>0</v>
      </c>
      <c r="G57" s="92">
        <f>'2025 Data'!P59</f>
        <v>0</v>
      </c>
      <c r="H57" s="138" t="s">
        <v>279</v>
      </c>
      <c r="I57" s="39">
        <f t="shared" si="3"/>
        <v>0</v>
      </c>
      <c r="J57" s="39">
        <f t="shared" si="3"/>
        <v>0</v>
      </c>
    </row>
    <row r="58" spans="4:13" s="18" customFormat="1" x14ac:dyDescent="0.25">
      <c r="D58" s="19" t="str">
        <f>'2025 Data'!D60</f>
        <v>Total interest expense on deposits</v>
      </c>
      <c r="E58" s="19" t="str">
        <f>'2025 Data'!E60</f>
        <v>KSH</v>
      </c>
      <c r="F58" s="134">
        <f>'2024 Data'!P61</f>
        <v>-13882008</v>
      </c>
      <c r="G58" s="134">
        <f>'2025 Data'!P60</f>
        <v>-22764238</v>
      </c>
      <c r="H58" s="138" t="s">
        <v>279</v>
      </c>
      <c r="I58" s="39">
        <f t="shared" si="3"/>
        <v>0.23544482603339179</v>
      </c>
      <c r="J58" s="39">
        <f t="shared" si="3"/>
        <v>0.35969585887327887</v>
      </c>
    </row>
    <row r="59" spans="4:13" x14ac:dyDescent="0.25">
      <c r="D59" s="31"/>
      <c r="E59" s="31"/>
      <c r="F59" s="31"/>
      <c r="G59" s="31"/>
      <c r="H59" s="139"/>
      <c r="I59" s="136"/>
      <c r="J59" s="136"/>
    </row>
    <row r="60" spans="4:13" x14ac:dyDescent="0.25">
      <c r="D60" s="31" t="str">
        <f>'2025 Data'!D62</f>
        <v>Mobile deposit charges paybill</v>
      </c>
      <c r="E60" s="31" t="str">
        <f>'2025 Data'!E62</f>
        <v>KSH</v>
      </c>
      <c r="F60" s="92">
        <f>'2024 Data'!P63</f>
        <v>-1601042</v>
      </c>
      <c r="G60" s="92">
        <f>'2025 Data'!P62</f>
        <v>-1184443</v>
      </c>
      <c r="H60" s="138" t="s">
        <v>279</v>
      </c>
      <c r="I60" s="39">
        <f t="shared" ref="I60:J64" si="4">-F60/F$53</f>
        <v>2.7154360893766497E-2</v>
      </c>
      <c r="J60" s="39">
        <f t="shared" si="4"/>
        <v>1.87152867656472E-2</v>
      </c>
    </row>
    <row r="61" spans="4:13" x14ac:dyDescent="0.25">
      <c r="D61" s="31" t="str">
        <f>'2025 Data'!D63</f>
        <v>loss impairement of financial assets</v>
      </c>
      <c r="E61" s="31" t="str">
        <f>'2025 Data'!E63</f>
        <v>KSH</v>
      </c>
      <c r="F61" s="92">
        <f>'2024 Data'!P64</f>
        <v>0</v>
      </c>
      <c r="G61" s="92">
        <f>'2025 Data'!P63</f>
        <v>0</v>
      </c>
      <c r="H61" s="138" t="s">
        <v>279</v>
      </c>
      <c r="I61" s="39">
        <f t="shared" si="4"/>
        <v>0</v>
      </c>
      <c r="J61" s="39">
        <f t="shared" si="4"/>
        <v>0</v>
      </c>
    </row>
    <row r="62" spans="4:13" x14ac:dyDescent="0.25">
      <c r="D62" s="31" t="str">
        <f>'2025 Data'!D64</f>
        <v>Appraisal fee</v>
      </c>
      <c r="E62" s="31" t="str">
        <f>'2025 Data'!E64</f>
        <v>KSH</v>
      </c>
      <c r="F62" s="92">
        <f>'2024 Data'!P65</f>
        <v>0</v>
      </c>
      <c r="G62" s="92">
        <f>'2025 Data'!P64</f>
        <v>-2048870</v>
      </c>
      <c r="H62" s="138" t="s">
        <v>279</v>
      </c>
      <c r="I62" s="39">
        <f t="shared" si="4"/>
        <v>0</v>
      </c>
      <c r="J62" s="39">
        <f t="shared" si="4"/>
        <v>3.237402694391505E-2</v>
      </c>
    </row>
    <row r="63" spans="4:13" x14ac:dyDescent="0.25">
      <c r="D63" s="31" t="str">
        <f>'2025 Data'!D65</f>
        <v>Other Expenses</v>
      </c>
      <c r="E63" s="31" t="str">
        <f>'2025 Data'!E65</f>
        <v>KSH</v>
      </c>
      <c r="F63" s="92">
        <f>'2024 Data'!P66</f>
        <v>-40117</v>
      </c>
      <c r="G63" s="92">
        <f>'2025 Data'!P65</f>
        <v>-2306</v>
      </c>
      <c r="H63" s="138" t="s">
        <v>279</v>
      </c>
      <c r="I63" s="39">
        <f t="shared" si="4"/>
        <v>6.8040157345980337E-4</v>
      </c>
      <c r="J63" s="39">
        <f t="shared" si="4"/>
        <v>3.6436916999452434E-5</v>
      </c>
    </row>
    <row r="64" spans="4:13" s="18" customFormat="1" x14ac:dyDescent="0.25">
      <c r="D64" s="19" t="str">
        <f>'2025 Data'!D66</f>
        <v xml:space="preserve">Total fees and commission expenses </v>
      </c>
      <c r="E64" s="19" t="str">
        <f>'2025 Data'!E66</f>
        <v>KSH</v>
      </c>
      <c r="F64" s="134">
        <f>'2024 Data'!P67</f>
        <v>-1641159</v>
      </c>
      <c r="G64" s="134">
        <f>'2025 Data'!P66</f>
        <v>-3235619</v>
      </c>
      <c r="H64" s="138" t="s">
        <v>279</v>
      </c>
      <c r="I64" s="39">
        <f t="shared" si="4"/>
        <v>2.7834762467226302E-2</v>
      </c>
      <c r="J64" s="39">
        <f t="shared" si="4"/>
        <v>5.1125750626561703E-2</v>
      </c>
    </row>
    <row r="65" spans="4:10" x14ac:dyDescent="0.25">
      <c r="D65" s="31"/>
      <c r="E65" s="31"/>
      <c r="F65" s="92"/>
      <c r="G65" s="92"/>
      <c r="H65" s="139"/>
      <c r="I65" s="136"/>
      <c r="J65" s="136"/>
    </row>
    <row r="66" spans="4:10" x14ac:dyDescent="0.25">
      <c r="D66" s="31" t="str">
        <f>'2025 Data'!D68</f>
        <v>Other Expenses</v>
      </c>
      <c r="E66" s="31" t="str">
        <f>'2025 Data'!E68</f>
        <v>KSH</v>
      </c>
      <c r="F66" s="92">
        <f>'2024 Data'!P69</f>
        <v>0</v>
      </c>
      <c r="G66" s="92">
        <f>'2025 Data'!P68</f>
        <v>-1500</v>
      </c>
      <c r="H66" s="138" t="s">
        <v>279</v>
      </c>
      <c r="I66" s="39">
        <f>-F66/F$53</f>
        <v>0</v>
      </c>
      <c r="J66" s="39">
        <f>-G66/G$53</f>
        <v>2.3701377059487707E-5</v>
      </c>
    </row>
    <row r="67" spans="4:10" x14ac:dyDescent="0.25">
      <c r="D67" s="31"/>
      <c r="E67" s="31"/>
      <c r="F67" s="92"/>
      <c r="G67" s="92"/>
      <c r="H67" s="139"/>
      <c r="I67" s="136"/>
      <c r="J67" s="136"/>
    </row>
    <row r="68" spans="4:10" x14ac:dyDescent="0.25">
      <c r="D68" s="31" t="str">
        <f>'2025 Data'!D70</f>
        <v>Total Provision for Loan Losses</v>
      </c>
      <c r="E68" s="31" t="str">
        <f>'2025 Data'!E70</f>
        <v>KSH</v>
      </c>
      <c r="F68" s="92">
        <f>'2024 Data'!P71</f>
        <v>-5793784</v>
      </c>
      <c r="G68" s="92">
        <f>'2025 Data'!P70</f>
        <v>1804419</v>
      </c>
      <c r="H68" s="138" t="s">
        <v>279</v>
      </c>
      <c r="I68" s="39">
        <f>-F68/F$53</f>
        <v>9.8265068422021429E-2</v>
      </c>
      <c r="J68" s="39">
        <f>-G68/G$53</f>
        <v>-2.8511476728202499E-2</v>
      </c>
    </row>
    <row r="69" spans="4:10" x14ac:dyDescent="0.25">
      <c r="D69" s="31"/>
      <c r="E69" s="31"/>
      <c r="F69" s="92"/>
      <c r="G69" s="92"/>
      <c r="H69" s="139"/>
      <c r="I69" s="136"/>
      <c r="J69" s="136"/>
    </row>
    <row r="70" spans="4:10" x14ac:dyDescent="0.25">
      <c r="D70" s="31" t="str">
        <f>'2025 Data'!D72</f>
        <v>Staff salaries</v>
      </c>
      <c r="E70" s="31" t="str">
        <f>'2025 Data'!E72</f>
        <v>KSH</v>
      </c>
      <c r="F70" s="92">
        <f>'2024 Data'!P73</f>
        <v>-7285498</v>
      </c>
      <c r="G70" s="92">
        <f>'2025 Data'!P72</f>
        <v>-7185464</v>
      </c>
      <c r="H70" s="138" t="s">
        <v>279</v>
      </c>
      <c r="I70" s="39">
        <f t="shared" ref="I70:J73" si="5">-F70/F$53</f>
        <v>0.12356517941616399</v>
      </c>
      <c r="J70" s="39">
        <f t="shared" si="5"/>
        <v>0.11353692774091652</v>
      </c>
    </row>
    <row r="71" spans="4:10" x14ac:dyDescent="0.25">
      <c r="D71" s="31" t="str">
        <f>'2025 Data'!D73</f>
        <v>House alowance</v>
      </c>
      <c r="E71" s="31" t="str">
        <f>'2025 Data'!E73</f>
        <v>KSH</v>
      </c>
      <c r="F71" s="92">
        <f>'2024 Data'!P74</f>
        <v>-1697384</v>
      </c>
      <c r="G71" s="92">
        <f>'2025 Data'!P73</f>
        <v>-1726188</v>
      </c>
      <c r="H71" s="138" t="s">
        <v>279</v>
      </c>
      <c r="I71" s="39">
        <f t="shared" si="5"/>
        <v>2.8788362648390832E-2</v>
      </c>
      <c r="J71" s="39">
        <f t="shared" si="5"/>
        <v>2.7275355109041978E-2</v>
      </c>
    </row>
    <row r="72" spans="4:10" x14ac:dyDescent="0.25">
      <c r="D72" s="31" t="str">
        <f>'2025 Data'!D74</f>
        <v>Other personnel expenses</v>
      </c>
      <c r="E72" s="31" t="str">
        <f>'2025 Data'!E74</f>
        <v>KSH</v>
      </c>
      <c r="F72" s="92">
        <f>'2024 Data'!P75</f>
        <v>-3381179</v>
      </c>
      <c r="G72" s="92">
        <f>'2025 Data'!P74</f>
        <v>-1827610</v>
      </c>
      <c r="H72" s="138" t="s">
        <v>279</v>
      </c>
      <c r="I72" s="39">
        <f t="shared" si="5"/>
        <v>5.7346250012444713E-2</v>
      </c>
      <c r="J72" s="39">
        <f t="shared" si="5"/>
        <v>2.887791581846022E-2</v>
      </c>
    </row>
    <row r="73" spans="4:10" s="18" customFormat="1" x14ac:dyDescent="0.25">
      <c r="D73" s="19" t="str">
        <f>'2025 Data'!D75</f>
        <v xml:space="preserve">Total personnel expenses </v>
      </c>
      <c r="E73" s="19" t="str">
        <f>'2025 Data'!E75</f>
        <v>KSH</v>
      </c>
      <c r="F73" s="134">
        <f>'2024 Data'!P76</f>
        <v>-12364061</v>
      </c>
      <c r="G73" s="134">
        <f>'2025 Data'!P75</f>
        <v>-10739262</v>
      </c>
      <c r="H73" s="138" t="s">
        <v>279</v>
      </c>
      <c r="I73" s="39">
        <f t="shared" si="5"/>
        <v>0.20969979207699954</v>
      </c>
      <c r="J73" s="39">
        <f t="shared" si="5"/>
        <v>0.16969019866841872</v>
      </c>
    </row>
    <row r="74" spans="4:10" x14ac:dyDescent="0.25">
      <c r="D74" s="31"/>
      <c r="E74" s="31"/>
      <c r="F74" s="92"/>
      <c r="G74" s="92"/>
      <c r="H74" s="139"/>
      <c r="I74" s="136"/>
      <c r="J74" s="136"/>
    </row>
    <row r="75" spans="4:10" x14ac:dyDescent="0.25">
      <c r="D75" s="31" t="str">
        <f>'2025 Data'!D77</f>
        <v>Total governance Expenses</v>
      </c>
      <c r="E75" s="31" t="str">
        <f>'2025 Data'!E77</f>
        <v>KSH</v>
      </c>
      <c r="F75" s="92">
        <f>'2024 Data'!P78</f>
        <v>-3956281</v>
      </c>
      <c r="G75" s="92">
        <f>'2025 Data'!P77</f>
        <v>-3449742</v>
      </c>
      <c r="H75" s="138" t="s">
        <v>279</v>
      </c>
      <c r="I75" s="39">
        <f>-F75/F$53</f>
        <v>6.710022727145909E-2</v>
      </c>
      <c r="J75" s="39">
        <f>-G75/G$53</f>
        <v>5.4509090599967495E-2</v>
      </c>
    </row>
    <row r="76" spans="4:10" x14ac:dyDescent="0.25">
      <c r="D76" s="31"/>
      <c r="E76" s="31"/>
      <c r="F76" s="92"/>
      <c r="G76" s="92"/>
      <c r="H76" s="139"/>
      <c r="I76" s="136"/>
      <c r="J76" s="136"/>
    </row>
    <row r="77" spans="4:10" x14ac:dyDescent="0.25">
      <c r="D77" s="31" t="str">
        <f>'2025 Data'!D79</f>
        <v>Total Marketing Expenses</v>
      </c>
      <c r="E77" s="31" t="str">
        <f>'2025 Data'!E79</f>
        <v>KSH</v>
      </c>
      <c r="F77" s="92">
        <f>'2024 Data'!P80</f>
        <v>-36200</v>
      </c>
      <c r="G77" s="92">
        <f>'2025 Data'!P79</f>
        <v>-118595</v>
      </c>
      <c r="H77" s="138" t="s">
        <v>279</v>
      </c>
      <c r="I77" s="39">
        <f>-F77/F$53</f>
        <v>6.1396756884225844E-4</v>
      </c>
      <c r="J77" s="39">
        <f>-G77/G$53</f>
        <v>1.8739098749132963E-3</v>
      </c>
    </row>
    <row r="78" spans="4:10" x14ac:dyDescent="0.25">
      <c r="D78" s="31"/>
      <c r="E78" s="31"/>
      <c r="F78" s="92"/>
      <c r="G78" s="92"/>
      <c r="H78" s="139"/>
      <c r="I78" s="136"/>
      <c r="J78" s="136"/>
    </row>
    <row r="79" spans="4:10" x14ac:dyDescent="0.25">
      <c r="D79" s="31" t="str">
        <f>'2025 Data'!D81</f>
        <v>Total Depreciation and amortization</v>
      </c>
      <c r="E79" s="31" t="str">
        <f>'2025 Data'!E81</f>
        <v>KSH</v>
      </c>
      <c r="F79" s="92">
        <f>'2024 Data'!P82</f>
        <v>-185313</v>
      </c>
      <c r="G79" s="92">
        <f>'2025 Data'!P81</f>
        <v>-362583</v>
      </c>
      <c r="H79" s="138" t="s">
        <v>279</v>
      </c>
      <c r="I79" s="39">
        <f>-F79/F$53</f>
        <v>3.1429881791399297E-3</v>
      </c>
      <c r="J79" s="39">
        <f>-G79/G$53</f>
        <v>5.7291442655734879E-3</v>
      </c>
    </row>
    <row r="80" spans="4:10" x14ac:dyDescent="0.25">
      <c r="D80" s="31"/>
      <c r="E80" s="31"/>
      <c r="F80" s="92"/>
      <c r="G80" s="92"/>
      <c r="H80" s="139"/>
      <c r="I80" s="136"/>
      <c r="J80" s="136"/>
    </row>
    <row r="81" spans="2:22" x14ac:dyDescent="0.25">
      <c r="D81" s="31" t="str">
        <f>'2025 Data'!D83</f>
        <v>Security</v>
      </c>
      <c r="E81" s="31" t="str">
        <f>'2025 Data'!E83</f>
        <v>KSH</v>
      </c>
      <c r="F81" s="92">
        <f>'2024 Data'!P84</f>
        <v>-1827060</v>
      </c>
      <c r="G81" s="92">
        <f>'2025 Data'!P83</f>
        <v>-1814842</v>
      </c>
      <c r="H81" s="138" t="s">
        <v>279</v>
      </c>
      <c r="I81" s="39">
        <f t="shared" ref="I81:J83" si="6">-F81/F$53</f>
        <v>3.0987723379252399E-2</v>
      </c>
      <c r="J81" s="39">
        <f t="shared" si="6"/>
        <v>2.8676169696929859E-2</v>
      </c>
    </row>
    <row r="82" spans="2:22" x14ac:dyDescent="0.25">
      <c r="D82" s="31" t="str">
        <f>'2025 Data'!D84</f>
        <v>Other Admin Expenses</v>
      </c>
      <c r="E82" s="31" t="str">
        <f>'2025 Data'!E84</f>
        <v>KSH</v>
      </c>
      <c r="F82" s="92">
        <f>'2024 Data'!P85</f>
        <v>-3377121</v>
      </c>
      <c r="G82" s="92">
        <f>'2025 Data'!P84</f>
        <v>-4305336</v>
      </c>
      <c r="H82" s="138" t="s">
        <v>279</v>
      </c>
      <c r="I82" s="39">
        <f t="shared" si="6"/>
        <v>5.7277424587186099E-2</v>
      </c>
      <c r="J82" s="39">
        <f t="shared" si="6"/>
        <v>6.8028261269191051E-2</v>
      </c>
    </row>
    <row r="83" spans="2:22" x14ac:dyDescent="0.25">
      <c r="D83" s="31" t="str">
        <f>'2025 Data'!D85</f>
        <v>Total Admin expenses</v>
      </c>
      <c r="E83" s="31" t="str">
        <f>'2025 Data'!E85</f>
        <v>KSH</v>
      </c>
      <c r="F83" s="92">
        <f>'2024 Data'!P86</f>
        <v>-5204181</v>
      </c>
      <c r="G83" s="92">
        <f>'2025 Data'!P85</f>
        <v>-6120178</v>
      </c>
      <c r="H83" s="138" t="s">
        <v>279</v>
      </c>
      <c r="I83" s="39">
        <f t="shared" si="6"/>
        <v>8.8265147966438501E-2</v>
      </c>
      <c r="J83" s="39">
        <f t="shared" si="6"/>
        <v>9.67044309661209E-2</v>
      </c>
    </row>
    <row r="84" spans="2:22" ht="15.75" thickBot="1" x14ac:dyDescent="0.3">
      <c r="D84" s="31"/>
      <c r="E84" s="31"/>
      <c r="F84" s="92"/>
      <c r="G84" s="92"/>
      <c r="H84" s="139"/>
      <c r="I84" s="136"/>
      <c r="J84" s="136"/>
    </row>
    <row r="85" spans="2:22" ht="15.75" thickBot="1" x14ac:dyDescent="0.3">
      <c r="D85" s="87" t="str">
        <f>'2025 Data'!D87</f>
        <v>Total Expenses</v>
      </c>
      <c r="E85" s="50" t="str">
        <f>'2025 Data'!E87</f>
        <v>KSH</v>
      </c>
      <c r="F85" s="142">
        <f>'2024 Data'!P88</f>
        <v>-43062987</v>
      </c>
      <c r="G85" s="142">
        <f>'2025 Data'!P87</f>
        <v>-44987298</v>
      </c>
      <c r="H85" s="143" t="s">
        <v>279</v>
      </c>
      <c r="I85" s="88">
        <f>-F85/F$53</f>
        <v>0.7303667799855188</v>
      </c>
      <c r="J85" s="144">
        <f>-G85/G$53</f>
        <v>0.71084060852369146</v>
      </c>
    </row>
    <row r="86" spans="2:22" ht="15.75" thickBot="1" x14ac:dyDescent="0.3">
      <c r="D86" s="31"/>
      <c r="E86" s="31"/>
      <c r="F86" s="92"/>
      <c r="G86" s="92"/>
      <c r="H86" s="139"/>
      <c r="I86" s="136"/>
      <c r="J86" s="136"/>
    </row>
    <row r="87" spans="2:22" s="18" customFormat="1" ht="15.75" thickBot="1" x14ac:dyDescent="0.3">
      <c r="D87" s="146" t="str">
        <f>'2025 Data'!D89</f>
        <v>Banking Operating Profit</v>
      </c>
      <c r="E87" s="147" t="str">
        <f>'2025 Data'!E89</f>
        <v>KSH</v>
      </c>
      <c r="F87" s="148">
        <f>'2024 Data'!P90</f>
        <v>15897782</v>
      </c>
      <c r="G87" s="148">
        <f>'2025 Data'!P89</f>
        <v>18300164</v>
      </c>
      <c r="H87" s="149" t="s">
        <v>279</v>
      </c>
      <c r="I87" s="150">
        <f>F87/F$53</f>
        <v>0.26963322001448115</v>
      </c>
      <c r="J87" s="151">
        <f>G87/G$53</f>
        <v>0.28915939147630854</v>
      </c>
    </row>
    <row r="88" spans="2:22" x14ac:dyDescent="0.25">
      <c r="D88" s="31"/>
      <c r="E88" s="31"/>
      <c r="F88" s="31"/>
      <c r="G88" s="31"/>
      <c r="H88" s="136"/>
      <c r="I88" s="31"/>
    </row>
    <row r="90" spans="2:22" x14ac:dyDescent="0.25">
      <c r="B90" s="42" t="s">
        <v>114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B2:BG90"/>
  <sheetViews>
    <sheetView zoomScale="80" zoomScaleNormal="80" workbookViewId="0">
      <pane ySplit="2" topLeftCell="A3" activePane="bottomLeft" state="frozen"/>
      <selection pane="bottomLeft" activeCell="N85" sqref="N85"/>
    </sheetView>
  </sheetViews>
  <sheetFormatPr defaultRowHeight="15" x14ac:dyDescent="0.25"/>
  <cols>
    <col min="1" max="3" width="1.7109375" customWidth="1"/>
    <col min="4" max="4" width="58.140625" bestFit="1" customWidth="1"/>
    <col min="5" max="5" width="5" bestFit="1" customWidth="1"/>
    <col min="6" max="6" width="16.42578125" bestFit="1" customWidth="1"/>
    <col min="7" max="7" width="16.28515625" bestFit="1" customWidth="1"/>
    <col min="8" max="8" width="16.42578125" bestFit="1" customWidth="1"/>
    <col min="9" max="9" width="20.28515625" style="137" bestFit="1" customWidth="1"/>
    <col min="10" max="10" width="15.140625" bestFit="1" customWidth="1"/>
  </cols>
  <sheetData>
    <row r="2" spans="2:59" x14ac:dyDescent="0.25">
      <c r="B2" s="42"/>
      <c r="C2" s="42" t="s">
        <v>284</v>
      </c>
      <c r="D2" s="42"/>
      <c r="E2" s="42"/>
      <c r="F2" s="42">
        <v>2023</v>
      </c>
      <c r="G2" s="42">
        <v>2024</v>
      </c>
      <c r="H2" s="42">
        <v>2025</v>
      </c>
      <c r="I2" s="140"/>
      <c r="J2" s="9">
        <f>F2</f>
        <v>2023</v>
      </c>
      <c r="K2" s="9">
        <f t="shared" ref="K2:L2" si="0">G2</f>
        <v>2024</v>
      </c>
      <c r="L2" s="9">
        <f t="shared" si="0"/>
        <v>2025</v>
      </c>
      <c r="M2" s="9"/>
      <c r="N2" s="9"/>
      <c r="O2" s="9"/>
      <c r="P2" s="9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</row>
    <row r="3" spans="2:59" x14ac:dyDescent="0.25">
      <c r="I3" s="139"/>
    </row>
    <row r="4" spans="2:59" x14ac:dyDescent="0.25">
      <c r="D4" s="31" t="str">
        <f>'2025 Data'!D6</f>
        <v>Interest on short term loan me</v>
      </c>
      <c r="E4" s="31" t="str">
        <f>'2025 Data'!E6</f>
        <v>KSH</v>
      </c>
      <c r="F4" s="92">
        <f>'2023 Data'!F6</f>
        <v>39201557</v>
      </c>
      <c r="G4" s="92">
        <f>'2024 Data'!F6</f>
        <v>40146646</v>
      </c>
      <c r="H4" s="92">
        <f>'2025 Data'!F6</f>
        <v>46170443</v>
      </c>
      <c r="I4" s="138" t="s">
        <v>278</v>
      </c>
      <c r="K4" s="39">
        <f>IFERROR(G4/F4-1,0)</f>
        <v>2.410845569220621E-2</v>
      </c>
      <c r="L4" s="39">
        <f>IFERROR(H4/G4-1,0)</f>
        <v>0.1500448381167383</v>
      </c>
    </row>
    <row r="5" spans="2:59" x14ac:dyDescent="0.25">
      <c r="D5" s="31" t="str">
        <f>'2025 Data'!D7</f>
        <v>Interest on short term loan Cu</v>
      </c>
      <c r="E5" s="31" t="str">
        <f>'2025 Data'!E7</f>
        <v>KSH</v>
      </c>
      <c r="F5" s="92">
        <f>'2023 Data'!F7</f>
        <v>57246553</v>
      </c>
      <c r="G5" s="92">
        <f>'2024 Data'!F7</f>
        <v>60779965</v>
      </c>
      <c r="H5" s="92">
        <f>'2025 Data'!F7</f>
        <v>64698667</v>
      </c>
      <c r="I5" s="138" t="s">
        <v>278</v>
      </c>
      <c r="K5" s="39">
        <f t="shared" ref="K5:K53" si="1">IFERROR(G5/F5-1,0)</f>
        <v>6.1722703199265094E-2</v>
      </c>
      <c r="L5" s="39">
        <f t="shared" ref="L5:L53" si="2">IFERROR(H5/G5-1,0)</f>
        <v>6.4473581055862761E-2</v>
      </c>
    </row>
    <row r="6" spans="2:59" x14ac:dyDescent="0.25">
      <c r="D6" s="31" t="str">
        <f>'2025 Data'!D8</f>
        <v>Interest on medium term loan m</v>
      </c>
      <c r="E6" s="31" t="str">
        <f>'2025 Data'!E8</f>
        <v>KSH</v>
      </c>
      <c r="F6" s="92">
        <f>'2023 Data'!F8</f>
        <v>48782578</v>
      </c>
      <c r="G6" s="92">
        <f>'2024 Data'!F8</f>
        <v>56015978</v>
      </c>
      <c r="H6" s="92">
        <f>'2025 Data'!F8</f>
        <v>67314965</v>
      </c>
      <c r="I6" s="138" t="s">
        <v>278</v>
      </c>
      <c r="K6" s="39">
        <f t="shared" si="1"/>
        <v>0.14827834642113413</v>
      </c>
      <c r="L6" s="39">
        <f t="shared" si="2"/>
        <v>0.20171007279387321</v>
      </c>
    </row>
    <row r="7" spans="2:59" x14ac:dyDescent="0.25">
      <c r="D7" s="31" t="str">
        <f>'2025 Data'!D9</f>
        <v>Interest on medium term loan C</v>
      </c>
      <c r="E7" s="31" t="str">
        <f>'2025 Data'!E9</f>
        <v>KSH</v>
      </c>
      <c r="F7" s="92">
        <f>'2023 Data'!F9</f>
        <v>194424006</v>
      </c>
      <c r="G7" s="92">
        <f>'2024 Data'!F9</f>
        <v>239627084</v>
      </c>
      <c r="H7" s="92">
        <f>'2025 Data'!F9</f>
        <v>267584894</v>
      </c>
      <c r="I7" s="138" t="s">
        <v>278</v>
      </c>
      <c r="K7" s="39">
        <f t="shared" si="1"/>
        <v>0.23249741083927677</v>
      </c>
      <c r="L7" s="39">
        <f t="shared" si="2"/>
        <v>0.1166721621500848</v>
      </c>
    </row>
    <row r="8" spans="2:59" x14ac:dyDescent="0.25">
      <c r="D8" s="31" t="str">
        <f>'2025 Data'!D10</f>
        <v>Interest on staff loan</v>
      </c>
      <c r="E8" s="31" t="str">
        <f>'2025 Data'!E10</f>
        <v>KSH</v>
      </c>
      <c r="F8" s="92">
        <f>'2023 Data'!F10</f>
        <v>18038056</v>
      </c>
      <c r="G8" s="92">
        <f>'2024 Data'!F10</f>
        <v>19774041</v>
      </c>
      <c r="H8" s="92">
        <f>'2025 Data'!F10</f>
        <v>22370511</v>
      </c>
      <c r="I8" s="138" t="s">
        <v>278</v>
      </c>
      <c r="K8" s="39">
        <f t="shared" si="1"/>
        <v>9.6240138072528403E-2</v>
      </c>
      <c r="L8" s="39">
        <f t="shared" si="2"/>
        <v>0.13130699991974337</v>
      </c>
    </row>
    <row r="9" spans="2:59" x14ac:dyDescent="0.25">
      <c r="D9" s="31" t="str">
        <f>'2025 Data'!D11</f>
        <v>Interest on development loan soc</v>
      </c>
      <c r="E9" s="31" t="str">
        <f>'2025 Data'!E11</f>
        <v>KSH</v>
      </c>
      <c r="F9" s="92">
        <f>'2023 Data'!F11</f>
        <v>9838194</v>
      </c>
      <c r="G9" s="92">
        <f>'2024 Data'!F11</f>
        <v>10551967</v>
      </c>
      <c r="H9" s="92">
        <f>'2025 Data'!F11</f>
        <v>10430099</v>
      </c>
      <c r="I9" s="138" t="s">
        <v>278</v>
      </c>
      <c r="K9" s="39">
        <f t="shared" si="1"/>
        <v>7.2551222307671415E-2</v>
      </c>
      <c r="L9" s="39">
        <f t="shared" si="2"/>
        <v>-1.1549315876366983E-2</v>
      </c>
    </row>
    <row r="10" spans="2:59" x14ac:dyDescent="0.25">
      <c r="D10" s="31" t="str">
        <f>'2025 Data'!D12</f>
        <v>Interest on overdraft members</v>
      </c>
      <c r="E10" s="31" t="str">
        <f>'2025 Data'!E12</f>
        <v>KSH</v>
      </c>
      <c r="F10" s="92">
        <f>'2023 Data'!F12</f>
        <v>26739072</v>
      </c>
      <c r="G10" s="92">
        <f>'2024 Data'!F12</f>
        <v>19080366</v>
      </c>
      <c r="H10" s="92">
        <f>'2025 Data'!F12</f>
        <v>13572578</v>
      </c>
      <c r="I10" s="138" t="s">
        <v>278</v>
      </c>
      <c r="K10" s="39">
        <f t="shared" si="1"/>
        <v>-0.28642377716025447</v>
      </c>
      <c r="L10" s="39">
        <f t="shared" si="2"/>
        <v>-0.28866259693341312</v>
      </c>
    </row>
    <row r="11" spans="2:59" x14ac:dyDescent="0.25">
      <c r="D11" s="31" t="str">
        <f>'2025 Data'!D13</f>
        <v>Interest on Overdue loan</v>
      </c>
      <c r="E11" s="31" t="str">
        <f>'2025 Data'!E13</f>
        <v>KSH</v>
      </c>
      <c r="F11" s="92">
        <f>'2023 Data'!F13</f>
        <v>2437563</v>
      </c>
      <c r="G11" s="92">
        <f>'2024 Data'!F13</f>
        <v>2837299</v>
      </c>
      <c r="H11" s="92">
        <f>'2025 Data'!F13</f>
        <v>3123169</v>
      </c>
      <c r="I11" s="138" t="s">
        <v>278</v>
      </c>
      <c r="K11" s="39">
        <f t="shared" si="1"/>
        <v>0.16399001789902456</v>
      </c>
      <c r="L11" s="39">
        <f t="shared" si="2"/>
        <v>0.10075427369480616</v>
      </c>
    </row>
    <row r="12" spans="2:59" x14ac:dyDescent="0.25">
      <c r="D12" s="31" t="str">
        <f>'2025 Data'!D14</f>
        <v>Advance interest</v>
      </c>
      <c r="E12" s="31" t="str">
        <f>'2025 Data'!E14</f>
        <v>KSH</v>
      </c>
      <c r="F12" s="92">
        <f>'2023 Data'!F14</f>
        <v>69730536</v>
      </c>
      <c r="G12" s="92">
        <f>'2024 Data'!F14</f>
        <v>72228964</v>
      </c>
      <c r="H12" s="92">
        <f>'2025 Data'!F14</f>
        <v>106197039</v>
      </c>
      <c r="I12" s="138" t="s">
        <v>278</v>
      </c>
      <c r="K12" s="39">
        <f t="shared" si="1"/>
        <v>3.5829754700293703E-2</v>
      </c>
      <c r="L12" s="39">
        <f t="shared" si="2"/>
        <v>0.47028329244761147</v>
      </c>
    </row>
    <row r="13" spans="2:59" x14ac:dyDescent="0.25">
      <c r="D13" s="31" t="str">
        <f>'2025 Data'!D15</f>
        <v>Interest on shirika loan</v>
      </c>
      <c r="E13" s="31" t="str">
        <f>'2025 Data'!E15</f>
        <v>KSH</v>
      </c>
      <c r="F13" s="92">
        <f>'2023 Data'!F15</f>
        <v>2727798</v>
      </c>
      <c r="G13" s="92">
        <f>'2024 Data'!F15</f>
        <v>5616400</v>
      </c>
      <c r="H13" s="92">
        <f>'2025 Data'!F15</f>
        <v>4302196</v>
      </c>
      <c r="I13" s="138" t="s">
        <v>278</v>
      </c>
      <c r="K13" s="39">
        <f t="shared" si="1"/>
        <v>1.058950112874927</v>
      </c>
      <c r="L13" s="39">
        <f t="shared" si="2"/>
        <v>-0.23399401752011961</v>
      </c>
    </row>
    <row r="14" spans="2:59" x14ac:dyDescent="0.25">
      <c r="D14" s="31" t="str">
        <f>'2025 Data'!D16</f>
        <v>Interest on bonus advance loan</v>
      </c>
      <c r="E14" s="31" t="str">
        <f>'2025 Data'!E16</f>
        <v>KSH</v>
      </c>
      <c r="F14" s="92">
        <f>'2023 Data'!F16</f>
        <v>7995144</v>
      </c>
      <c r="G14" s="92">
        <f>'2024 Data'!F16</f>
        <v>16899662</v>
      </c>
      <c r="H14" s="92">
        <f>'2025 Data'!F16</f>
        <v>13607645</v>
      </c>
      <c r="I14" s="138" t="s">
        <v>278</v>
      </c>
      <c r="K14" s="39">
        <f t="shared" si="1"/>
        <v>1.1137407906599304</v>
      </c>
      <c r="L14" s="39">
        <f t="shared" si="2"/>
        <v>-0.1947978012814694</v>
      </c>
    </row>
    <row r="15" spans="2:59" x14ac:dyDescent="0.25">
      <c r="D15" s="31" t="str">
        <f>'2025 Data'!D17</f>
        <v>Interest on Premium Financing</v>
      </c>
      <c r="E15" s="31" t="str">
        <f>'2025 Data'!E17</f>
        <v>KSH</v>
      </c>
      <c r="F15" s="92">
        <f>'2023 Data'!F17</f>
        <v>15743721</v>
      </c>
      <c r="G15" s="92">
        <f>'2024 Data'!F17</f>
        <v>11223687</v>
      </c>
      <c r="H15" s="92">
        <f>'2025 Data'!F17</f>
        <v>267258</v>
      </c>
      <c r="I15" s="138" t="s">
        <v>278</v>
      </c>
      <c r="K15" s="39">
        <f t="shared" si="1"/>
        <v>-0.28710074321057899</v>
      </c>
      <c r="L15" s="39">
        <f t="shared" si="2"/>
        <v>-0.97618803874341831</v>
      </c>
    </row>
    <row r="16" spans="2:59" x14ac:dyDescent="0.25">
      <c r="D16" s="31" t="str">
        <f>'2025 Data'!D18</f>
        <v>Interest on MFI loan</v>
      </c>
      <c r="E16" s="31" t="str">
        <f>'2025 Data'!E18</f>
        <v>KSH</v>
      </c>
      <c r="F16" s="92">
        <f>'2023 Data'!F18</f>
        <v>13524540</v>
      </c>
      <c r="G16" s="92">
        <f>'2024 Data'!F18</f>
        <v>14312981</v>
      </c>
      <c r="H16" s="92">
        <f>'2025 Data'!F18</f>
        <v>14149958</v>
      </c>
      <c r="I16" s="138" t="s">
        <v>278</v>
      </c>
      <c r="K16" s="39">
        <f t="shared" si="1"/>
        <v>5.8297065926086855E-2</v>
      </c>
      <c r="L16" s="39">
        <f t="shared" si="2"/>
        <v>-1.1389870495880583E-2</v>
      </c>
    </row>
    <row r="17" spans="4:12" x14ac:dyDescent="0.25">
      <c r="D17" s="31" t="str">
        <f>'2025 Data'!D19</f>
        <v>Interest on Jijenge Loan</v>
      </c>
      <c r="E17" s="31" t="str">
        <f>'2025 Data'!E19</f>
        <v>KSH</v>
      </c>
      <c r="F17" s="92">
        <f>'2023 Data'!F19</f>
        <v>93513320</v>
      </c>
      <c r="G17" s="92">
        <f>'2024 Data'!F19</f>
        <v>125287123</v>
      </c>
      <c r="H17" s="92">
        <f>'2025 Data'!F19</f>
        <v>150440318</v>
      </c>
      <c r="I17" s="138" t="s">
        <v>278</v>
      </c>
      <c r="K17" s="39">
        <f t="shared" si="1"/>
        <v>0.33977836526390037</v>
      </c>
      <c r="L17" s="39">
        <f t="shared" si="2"/>
        <v>0.20076440736850509</v>
      </c>
    </row>
    <row r="18" spans="4:12" x14ac:dyDescent="0.25">
      <c r="D18" s="31" t="str">
        <f>'2025 Data'!D20</f>
        <v>Interest on Soko loan</v>
      </c>
      <c r="E18" s="31" t="str">
        <f>'2025 Data'!E20</f>
        <v>KSH</v>
      </c>
      <c r="F18" s="92">
        <f>'2023 Data'!F20</f>
        <v>0</v>
      </c>
      <c r="G18" s="92">
        <f>'2024 Data'!F20</f>
        <v>4458</v>
      </c>
      <c r="H18" s="92">
        <f>'2025 Data'!F20</f>
        <v>462</v>
      </c>
      <c r="I18" s="138" t="s">
        <v>278</v>
      </c>
      <c r="K18" s="39">
        <f t="shared" si="1"/>
        <v>0</v>
      </c>
      <c r="L18" s="39">
        <f t="shared" si="2"/>
        <v>-0.89636608344549129</v>
      </c>
    </row>
    <row r="19" spans="4:12" x14ac:dyDescent="0.25">
      <c r="D19" s="31" t="str">
        <f>'2025 Data'!D21</f>
        <v>Interest on Inuka loan</v>
      </c>
      <c r="E19" s="31" t="str">
        <f>'2025 Data'!E21</f>
        <v>KSH</v>
      </c>
      <c r="F19" s="92">
        <f>'2023 Data'!F21</f>
        <v>19224063</v>
      </c>
      <c r="G19" s="92">
        <f>'2024 Data'!F21</f>
        <v>21847865</v>
      </c>
      <c r="H19" s="92">
        <f>'2025 Data'!F21</f>
        <v>27819848</v>
      </c>
      <c r="I19" s="138" t="s">
        <v>278</v>
      </c>
      <c r="K19" s="39">
        <f t="shared" si="1"/>
        <v>0.1364852996996524</v>
      </c>
      <c r="L19" s="39">
        <f t="shared" si="2"/>
        <v>0.27334400867087005</v>
      </c>
    </row>
    <row r="20" spans="4:12" x14ac:dyDescent="0.25">
      <c r="D20" s="31" t="str">
        <f>'2025 Data'!D22</f>
        <v>Interest on youthbiz loan</v>
      </c>
      <c r="E20" s="31" t="str">
        <f>'2025 Data'!E22</f>
        <v>KSH</v>
      </c>
      <c r="F20" s="92">
        <f>'2023 Data'!F22</f>
        <v>0</v>
      </c>
      <c r="G20" s="92">
        <f>'2024 Data'!F22</f>
        <v>0</v>
      </c>
      <c r="H20" s="92">
        <f>'2025 Data'!F22</f>
        <v>655079</v>
      </c>
      <c r="I20" s="138" t="s">
        <v>278</v>
      </c>
      <c r="K20" s="39">
        <f t="shared" si="1"/>
        <v>0</v>
      </c>
      <c r="L20" s="39">
        <f t="shared" si="2"/>
        <v>0</v>
      </c>
    </row>
    <row r="21" spans="4:12" x14ac:dyDescent="0.25">
      <c r="D21" s="31" t="str">
        <f>'2025 Data'!D23</f>
        <v>Interest on Kwamua Biashara</v>
      </c>
      <c r="E21" s="31" t="str">
        <f>'2025 Data'!E23</f>
        <v>KSH</v>
      </c>
      <c r="F21" s="92">
        <f>'2023 Data'!F23</f>
        <v>0</v>
      </c>
      <c r="G21" s="92">
        <f>'2024 Data'!F23</f>
        <v>6759860</v>
      </c>
      <c r="H21" s="92">
        <f>'2025 Data'!F23</f>
        <v>33334076</v>
      </c>
      <c r="I21" s="138" t="s">
        <v>278</v>
      </c>
      <c r="K21" s="39">
        <f t="shared" si="1"/>
        <v>0</v>
      </c>
      <c r="L21" s="39">
        <f t="shared" si="2"/>
        <v>3.9311784563585634</v>
      </c>
    </row>
    <row r="22" spans="4:12" s="18" customFormat="1" x14ac:dyDescent="0.25">
      <c r="D22" s="31" t="str">
        <f>'2025 Data'!D24</f>
        <v>Interest on Uni-Mobiloan</v>
      </c>
      <c r="E22" s="31" t="str">
        <f>'2025 Data'!E24</f>
        <v>KSH</v>
      </c>
      <c r="F22" s="92">
        <f>'2023 Data'!F24</f>
        <v>6510025</v>
      </c>
      <c r="G22" s="92">
        <f>'2024 Data'!F24</f>
        <v>14076704</v>
      </c>
      <c r="H22" s="92">
        <f>'2025 Data'!F24</f>
        <v>16175788</v>
      </c>
      <c r="I22" s="138" t="s">
        <v>278</v>
      </c>
      <c r="J22"/>
      <c r="K22" s="39">
        <f t="shared" si="1"/>
        <v>1.1623118190790356</v>
      </c>
      <c r="L22" s="39">
        <f t="shared" si="2"/>
        <v>0.14911757752382937</v>
      </c>
    </row>
    <row r="23" spans="4:12" x14ac:dyDescent="0.25">
      <c r="D23" s="19" t="str">
        <f>'2025 Data'!D25</f>
        <v>Total interest on loan Portfolio</v>
      </c>
      <c r="E23" s="19" t="str">
        <f>'2025 Data'!E25</f>
        <v>KSH</v>
      </c>
      <c r="F23" s="134">
        <f>'2023 Data'!F25</f>
        <v>625676726</v>
      </c>
      <c r="G23" s="134">
        <f>'2024 Data'!F25</f>
        <v>737071050</v>
      </c>
      <c r="H23" s="134">
        <f>'2025 Data'!F25</f>
        <v>862214993</v>
      </c>
      <c r="I23" s="138" t="s">
        <v>278</v>
      </c>
      <c r="J23" s="18"/>
      <c r="K23" s="64">
        <f t="shared" si="1"/>
        <v>0.17803814553268205</v>
      </c>
      <c r="L23" s="64">
        <f t="shared" si="2"/>
        <v>0.16978545419739377</v>
      </c>
    </row>
    <row r="24" spans="4:12" x14ac:dyDescent="0.25">
      <c r="D24" s="31"/>
      <c r="E24" s="31"/>
      <c r="F24" s="31"/>
      <c r="G24" s="31"/>
      <c r="H24" s="31"/>
      <c r="I24" s="31"/>
      <c r="J24" s="31"/>
      <c r="K24" s="31"/>
      <c r="L24" s="31"/>
    </row>
    <row r="25" spans="4:12" x14ac:dyDescent="0.25">
      <c r="D25" s="31" t="str">
        <f>'2025 Data'!D27</f>
        <v>Loan Processing fee</v>
      </c>
      <c r="E25" s="31" t="str">
        <f>'2025 Data'!E27</f>
        <v>KSH</v>
      </c>
      <c r="F25" s="92">
        <f>'2023 Data'!F27</f>
        <v>4903000</v>
      </c>
      <c r="G25" s="92">
        <f>'2024 Data'!F27</f>
        <v>6555824</v>
      </c>
      <c r="H25" s="92">
        <f>'2025 Data'!F27</f>
        <v>7043623</v>
      </c>
      <c r="I25" s="138" t="s">
        <v>278</v>
      </c>
      <c r="K25" s="39">
        <f t="shared" si="1"/>
        <v>0.33710462981847855</v>
      </c>
      <c r="L25" s="39">
        <f t="shared" si="2"/>
        <v>7.4406970046785981E-2</v>
      </c>
    </row>
    <row r="26" spans="4:12" x14ac:dyDescent="0.25">
      <c r="D26" s="31" t="str">
        <f>'2025 Data'!D28</f>
        <v>Other loan recovey inome</v>
      </c>
      <c r="E26" s="31" t="str">
        <f>'2025 Data'!E28</f>
        <v>KSH</v>
      </c>
      <c r="F26" s="92">
        <f>'2023 Data'!F28</f>
        <v>452356</v>
      </c>
      <c r="G26" s="92">
        <f>'2024 Data'!F28</f>
        <v>1123218</v>
      </c>
      <c r="H26" s="92">
        <f>'2025 Data'!F28</f>
        <v>982165</v>
      </c>
      <c r="I26" s="138" t="s">
        <v>278</v>
      </c>
      <c r="K26" s="39">
        <f t="shared" si="1"/>
        <v>1.483039906622218</v>
      </c>
      <c r="L26" s="39">
        <f t="shared" si="2"/>
        <v>-0.12557936215409649</v>
      </c>
    </row>
    <row r="27" spans="4:12" x14ac:dyDescent="0.25">
      <c r="D27" s="31" t="str">
        <f>'2025 Data'!D29</f>
        <v>Ledger fee on loans</v>
      </c>
      <c r="E27" s="31" t="str">
        <f>'2025 Data'!E29</f>
        <v>KSH</v>
      </c>
      <c r="F27" s="92">
        <f>'2023 Data'!F29</f>
        <v>30568905</v>
      </c>
      <c r="G27" s="92">
        <f>'2024 Data'!F29</f>
        <v>21041314</v>
      </c>
      <c r="H27" s="92">
        <f>'2025 Data'!F29</f>
        <v>17946295</v>
      </c>
      <c r="I27" s="138" t="s">
        <v>278</v>
      </c>
      <c r="K27" s="39">
        <f t="shared" si="1"/>
        <v>-0.31167590072330031</v>
      </c>
      <c r="L27" s="39">
        <f t="shared" si="2"/>
        <v>-0.14709247720936058</v>
      </c>
    </row>
    <row r="28" spans="4:12" x14ac:dyDescent="0.25">
      <c r="D28" s="31" t="str">
        <f>'2025 Data'!D30</f>
        <v>Ledger fee on MFI loan</v>
      </c>
      <c r="E28" s="31" t="str">
        <f>'2025 Data'!E30</f>
        <v>KSH</v>
      </c>
      <c r="F28" s="92">
        <f>'2023 Data'!F30</f>
        <v>3959916</v>
      </c>
      <c r="G28" s="92">
        <f>'2024 Data'!F30</f>
        <v>3495360</v>
      </c>
      <c r="H28" s="92">
        <f>'2025 Data'!F30</f>
        <v>3226089</v>
      </c>
      <c r="I28" s="138" t="s">
        <v>278</v>
      </c>
      <c r="K28" s="39">
        <f t="shared" si="1"/>
        <v>-0.11731460970384222</v>
      </c>
      <c r="L28" s="39">
        <f t="shared" si="2"/>
        <v>-7.7036700082394938E-2</v>
      </c>
    </row>
    <row r="29" spans="4:12" x14ac:dyDescent="0.25">
      <c r="D29" s="31" t="str">
        <f>'2025 Data'!D31</f>
        <v>MFI loan procesing fee</v>
      </c>
      <c r="E29" s="31" t="str">
        <f>'2025 Data'!E31</f>
        <v>KSH</v>
      </c>
      <c r="F29" s="92">
        <f>'2023 Data'!F31</f>
        <v>167120</v>
      </c>
      <c r="G29" s="92">
        <f>'2024 Data'!F31</f>
        <v>208700</v>
      </c>
      <c r="H29" s="92">
        <f>'2025 Data'!F31</f>
        <v>155250</v>
      </c>
      <c r="I29" s="138" t="s">
        <v>278</v>
      </c>
      <c r="K29" s="39">
        <f t="shared" si="1"/>
        <v>0.24880325514600288</v>
      </c>
      <c r="L29" s="39">
        <f t="shared" si="2"/>
        <v>-0.25610924772400578</v>
      </c>
    </row>
    <row r="30" spans="4:12" s="18" customFormat="1" x14ac:dyDescent="0.25">
      <c r="D30" s="31" t="str">
        <f>'2025 Data'!D32</f>
        <v>MFI other incomes</v>
      </c>
      <c r="E30" s="31" t="str">
        <f>'2025 Data'!E32</f>
        <v>KSH</v>
      </c>
      <c r="F30" s="92">
        <f>'2023 Data'!F32</f>
        <v>370263</v>
      </c>
      <c r="G30" s="92">
        <f>'2024 Data'!F32</f>
        <v>213097</v>
      </c>
      <c r="H30" s="92">
        <f>'2025 Data'!F32</f>
        <v>113046</v>
      </c>
      <c r="I30" s="138" t="s">
        <v>278</v>
      </c>
      <c r="J30"/>
      <c r="K30" s="39">
        <f t="shared" si="1"/>
        <v>-0.42447125421659737</v>
      </c>
      <c r="L30" s="39">
        <f t="shared" si="2"/>
        <v>-0.46950919065026719</v>
      </c>
    </row>
    <row r="31" spans="4:12" s="18" customFormat="1" x14ac:dyDescent="0.25">
      <c r="D31" s="19" t="str">
        <f>'2025 Data'!D33</f>
        <v>Total fees and Commision on loan Portfolio</v>
      </c>
      <c r="E31" s="19" t="str">
        <f>'2025 Data'!E33</f>
        <v>KSH</v>
      </c>
      <c r="F31" s="134">
        <f>'2023 Data'!F33</f>
        <v>40421560</v>
      </c>
      <c r="G31" s="134">
        <f>'2024 Data'!F33</f>
        <v>32637513</v>
      </c>
      <c r="H31" s="134">
        <f>'2025 Data'!F33</f>
        <v>29466468</v>
      </c>
      <c r="I31" s="141" t="s">
        <v>278</v>
      </c>
      <c r="K31" s="64">
        <f t="shared" si="1"/>
        <v>-0.19257166225153111</v>
      </c>
      <c r="L31" s="64">
        <f t="shared" si="2"/>
        <v>-9.7159517025699804E-2</v>
      </c>
    </row>
    <row r="32" spans="4:12" x14ac:dyDescent="0.25">
      <c r="D32" s="31"/>
      <c r="E32" s="31">
        <f>'2025 Data'!E34</f>
        <v>0</v>
      </c>
      <c r="F32" s="92">
        <f>'2023 Data'!F34</f>
        <v>0</v>
      </c>
      <c r="G32" s="92">
        <f>'2024 Data'!F34</f>
        <v>0</v>
      </c>
      <c r="H32" s="92">
        <f>'2025 Data'!F34</f>
        <v>0</v>
      </c>
      <c r="I32" s="139"/>
    </row>
    <row r="33" spans="4:12" x14ac:dyDescent="0.25">
      <c r="D33" s="31" t="str">
        <f>'2025 Data'!D35</f>
        <v>Interest on treasury bonds</v>
      </c>
      <c r="E33" s="31" t="str">
        <f>'2025 Data'!E35</f>
        <v>KSH</v>
      </c>
      <c r="F33" s="92">
        <f>'2023 Data'!F35</f>
        <v>12759332</v>
      </c>
      <c r="G33" s="92">
        <f>'2024 Data'!F35</f>
        <v>13034253</v>
      </c>
      <c r="H33" s="92">
        <f>'2025 Data'!F35</f>
        <v>12923306</v>
      </c>
      <c r="I33" s="138" t="s">
        <v>278</v>
      </c>
      <c r="K33" s="39">
        <f t="shared" si="1"/>
        <v>2.1546660906699433E-2</v>
      </c>
      <c r="L33" s="39">
        <f t="shared" si="2"/>
        <v>-8.5119569184363142E-3</v>
      </c>
    </row>
    <row r="34" spans="4:12" x14ac:dyDescent="0.25">
      <c r="D34" s="31" t="str">
        <f>'2025 Data'!D36</f>
        <v>Discount on infrastructure Bonds</v>
      </c>
      <c r="E34" s="31" t="str">
        <f>'2025 Data'!E36</f>
        <v>KSH</v>
      </c>
      <c r="F34" s="92">
        <f>'2023 Data'!F36</f>
        <v>231170</v>
      </c>
      <c r="G34" s="92">
        <f>'2024 Data'!F36</f>
        <v>234268</v>
      </c>
      <c r="H34" s="92">
        <f>'2025 Data'!F36</f>
        <v>458238</v>
      </c>
      <c r="I34" s="138" t="s">
        <v>278</v>
      </c>
      <c r="K34" s="39">
        <f t="shared" si="1"/>
        <v>1.3401392914305532E-2</v>
      </c>
      <c r="L34" s="39">
        <f t="shared" si="2"/>
        <v>0.95604179828230906</v>
      </c>
    </row>
    <row r="35" spans="4:12" s="18" customFormat="1" x14ac:dyDescent="0.25">
      <c r="D35" s="31" t="str">
        <f>'2025 Data'!D37</f>
        <v>Interest on corporate Bonds</v>
      </c>
      <c r="E35" s="31" t="str">
        <f>'2025 Data'!E37</f>
        <v>KSH</v>
      </c>
      <c r="F35" s="92">
        <f>'2023 Data'!F37</f>
        <v>10399992</v>
      </c>
      <c r="G35" s="92">
        <f>'2024 Data'!F37</f>
        <v>10399992</v>
      </c>
      <c r="H35" s="92">
        <f>'2025 Data'!F37</f>
        <v>10399992</v>
      </c>
      <c r="I35" s="138" t="s">
        <v>278</v>
      </c>
      <c r="J35"/>
      <c r="K35" s="39">
        <f t="shared" si="1"/>
        <v>0</v>
      </c>
      <c r="L35" s="39">
        <f t="shared" si="2"/>
        <v>0</v>
      </c>
    </row>
    <row r="36" spans="4:12" s="18" customFormat="1" x14ac:dyDescent="0.25">
      <c r="D36" s="19" t="str">
        <f>'2025 Data'!D38</f>
        <v>Total Government Securities</v>
      </c>
      <c r="E36" s="19" t="str">
        <f>'2025 Data'!E38</f>
        <v>KSH</v>
      </c>
      <c r="F36" s="134">
        <f>'2023 Data'!F39</f>
        <v>23402909</v>
      </c>
      <c r="G36" s="134">
        <f>'2024 Data'!F39</f>
        <v>23678878</v>
      </c>
      <c r="H36" s="134">
        <f>'2025 Data'!F38</f>
        <v>23781536</v>
      </c>
      <c r="I36" s="141" t="s">
        <v>278</v>
      </c>
      <c r="K36" s="64">
        <f t="shared" si="1"/>
        <v>1.1792081061375637E-2</v>
      </c>
      <c r="L36" s="64">
        <f t="shared" si="2"/>
        <v>4.3354250146481199E-3</v>
      </c>
    </row>
    <row r="37" spans="4:12" x14ac:dyDescent="0.25">
      <c r="D37" s="31"/>
      <c r="E37" s="31">
        <f>'2025 Data'!E39</f>
        <v>0</v>
      </c>
      <c r="F37" s="92">
        <f>'2023 Data'!F40</f>
        <v>0</v>
      </c>
      <c r="G37" s="92">
        <f>'2024 Data'!F40</f>
        <v>0</v>
      </c>
      <c r="H37" s="92">
        <f>'2025 Data'!F39</f>
        <v>0</v>
      </c>
      <c r="I37" s="139"/>
    </row>
    <row r="38" spans="4:12" x14ac:dyDescent="0.25">
      <c r="D38" s="31" t="str">
        <f>'2025 Data'!D40</f>
        <v>Interest on fixed deposit</v>
      </c>
      <c r="E38" s="31" t="str">
        <f>'2025 Data'!E40</f>
        <v>KSH</v>
      </c>
      <c r="F38" s="92">
        <f>'2023 Data'!F41</f>
        <v>48045587</v>
      </c>
      <c r="G38" s="92">
        <f>'2024 Data'!F41</f>
        <v>66730025</v>
      </c>
      <c r="H38" s="92">
        <f>'2025 Data'!F40</f>
        <v>80499628</v>
      </c>
      <c r="I38" s="138" t="s">
        <v>278</v>
      </c>
      <c r="K38" s="39">
        <f t="shared" si="1"/>
        <v>0.38888978502853977</v>
      </c>
      <c r="L38" s="39">
        <f t="shared" si="2"/>
        <v>0.20634793707929822</v>
      </c>
    </row>
    <row r="39" spans="4:12" s="18" customFormat="1" x14ac:dyDescent="0.25">
      <c r="D39" s="31" t="str">
        <f>'2025 Data'!D41</f>
        <v>Interest on call deposit</v>
      </c>
      <c r="E39" s="31" t="str">
        <f>'2025 Data'!E41</f>
        <v>KSH</v>
      </c>
      <c r="F39" s="92">
        <f>'2023 Data'!F42</f>
        <v>16043890</v>
      </c>
      <c r="G39" s="92">
        <f>'2024 Data'!F42</f>
        <v>19020729</v>
      </c>
      <c r="H39" s="92">
        <f>'2025 Data'!F41</f>
        <v>5081574</v>
      </c>
      <c r="I39" s="138" t="s">
        <v>278</v>
      </c>
      <c r="J39"/>
      <c r="K39" s="39">
        <f t="shared" si="1"/>
        <v>0.18554346857277126</v>
      </c>
      <c r="L39" s="39">
        <f t="shared" si="2"/>
        <v>-0.7328402081749863</v>
      </c>
    </row>
    <row r="40" spans="4:12" s="18" customFormat="1" x14ac:dyDescent="0.25">
      <c r="D40" s="19" t="str">
        <f>'2025 Data'!D42</f>
        <v>Total deposit with bank</v>
      </c>
      <c r="E40" s="19" t="str">
        <f>'2025 Data'!E42</f>
        <v>KSH</v>
      </c>
      <c r="F40" s="134">
        <f>'2023 Data'!F43</f>
        <v>64089477</v>
      </c>
      <c r="G40" s="134">
        <f>'2024 Data'!F43</f>
        <v>85750754</v>
      </c>
      <c r="H40" s="134">
        <f>'2025 Data'!F42</f>
        <v>85581202</v>
      </c>
      <c r="I40" s="141" t="s">
        <v>278</v>
      </c>
      <c r="K40" s="64">
        <f t="shared" si="1"/>
        <v>0.33798492379646028</v>
      </c>
      <c r="L40" s="64">
        <f t="shared" si="2"/>
        <v>-1.9772654127332423E-3</v>
      </c>
    </row>
    <row r="41" spans="4:12" x14ac:dyDescent="0.25">
      <c r="D41" s="31"/>
      <c r="E41" s="31">
        <f>'2025 Data'!E43</f>
        <v>0</v>
      </c>
      <c r="F41" s="92">
        <f>'2023 Data'!F44</f>
        <v>0</v>
      </c>
      <c r="G41" s="92">
        <f>'2024 Data'!F44</f>
        <v>0</v>
      </c>
      <c r="H41" s="92">
        <f>'2025 Data'!F43</f>
        <v>0</v>
      </c>
      <c r="I41" s="139"/>
    </row>
    <row r="42" spans="4:12" x14ac:dyDescent="0.25">
      <c r="D42" s="31" t="str">
        <f>'2025 Data'!D44</f>
        <v>Interest Income From Financial Investment</v>
      </c>
      <c r="E42" s="31" t="str">
        <f>'2025 Data'!E44</f>
        <v>KSH</v>
      </c>
      <c r="F42" s="92">
        <f>'2023 Data'!F45</f>
        <v>87492386</v>
      </c>
      <c r="G42" s="92">
        <f>'2024 Data'!F45</f>
        <v>109429632</v>
      </c>
      <c r="H42" s="92">
        <f>'2025 Data'!F44</f>
        <v>109362738</v>
      </c>
      <c r="I42" s="138" t="s">
        <v>278</v>
      </c>
      <c r="K42" s="39">
        <f t="shared" si="1"/>
        <v>0.2507332009439085</v>
      </c>
      <c r="L42" s="39">
        <f t="shared" si="2"/>
        <v>-6.1129694743011775E-4</v>
      </c>
    </row>
    <row r="43" spans="4:12" x14ac:dyDescent="0.25">
      <c r="D43" s="31"/>
      <c r="E43" s="31">
        <f>'2025 Data'!E45</f>
        <v>0</v>
      </c>
      <c r="F43" s="92">
        <f>'2023 Data'!F46</f>
        <v>0</v>
      </c>
      <c r="G43" s="92">
        <f>'2024 Data'!F46</f>
        <v>0</v>
      </c>
      <c r="H43" s="92">
        <f>'2025 Data'!F45</f>
        <v>0</v>
      </c>
      <c r="I43" s="139"/>
      <c r="K43" s="39">
        <f t="shared" si="1"/>
        <v>0</v>
      </c>
      <c r="L43" s="39">
        <f t="shared" si="2"/>
        <v>0</v>
      </c>
    </row>
    <row r="44" spans="4:12" x14ac:dyDescent="0.25">
      <c r="D44" s="31" t="str">
        <f>'2025 Data'!D46</f>
        <v>Salary Processiong Charges</v>
      </c>
      <c r="E44" s="31" t="str">
        <f>'2025 Data'!E46</f>
        <v>KSH</v>
      </c>
      <c r="F44" s="92">
        <f>'2023 Data'!F47</f>
        <v>11623361</v>
      </c>
      <c r="G44" s="92">
        <f>'2024 Data'!F47</f>
        <v>10131507</v>
      </c>
      <c r="H44" s="92">
        <f>'2025 Data'!F46</f>
        <v>7773364</v>
      </c>
      <c r="I44" s="138" t="s">
        <v>278</v>
      </c>
      <c r="K44" s="39">
        <f t="shared" si="1"/>
        <v>-0.12834962279843154</v>
      </c>
      <c r="L44" s="39">
        <f t="shared" si="2"/>
        <v>-0.2327534294750031</v>
      </c>
    </row>
    <row r="45" spans="4:12" x14ac:dyDescent="0.25">
      <c r="D45" s="31" t="str">
        <f>'2025 Data'!D47</f>
        <v>Withdrawal transaction charge</v>
      </c>
      <c r="E45" s="31" t="str">
        <f>'2025 Data'!E47</f>
        <v>KSH</v>
      </c>
      <c r="F45" s="92">
        <f>'2023 Data'!F48</f>
        <v>26994820</v>
      </c>
      <c r="G45" s="92">
        <f>'2024 Data'!F48</f>
        <v>27360908</v>
      </c>
      <c r="H45" s="92">
        <f>'2025 Data'!F47</f>
        <v>25616170</v>
      </c>
      <c r="I45" s="138" t="s">
        <v>278</v>
      </c>
      <c r="K45" s="39">
        <f t="shared" si="1"/>
        <v>1.3561416597702713E-2</v>
      </c>
      <c r="L45" s="39">
        <f t="shared" si="2"/>
        <v>-6.3767547480514941E-2</v>
      </c>
    </row>
    <row r="46" spans="4:12" x14ac:dyDescent="0.25">
      <c r="D46" s="31" t="str">
        <f>'2025 Data'!D48</f>
        <v>Mobile Banking cash withdrawal and notification charge</v>
      </c>
      <c r="E46" s="31" t="str">
        <f>'2025 Data'!E48</f>
        <v>KSH</v>
      </c>
      <c r="F46" s="92">
        <f>'2023 Data'!F49</f>
        <v>17758576</v>
      </c>
      <c r="G46" s="92">
        <f>'2024 Data'!F49</f>
        <v>12984431</v>
      </c>
      <c r="H46" s="92">
        <f>'2025 Data'!F48</f>
        <v>17052437</v>
      </c>
      <c r="I46" s="138" t="s">
        <v>278</v>
      </c>
      <c r="K46" s="39">
        <f t="shared" si="1"/>
        <v>-0.26883602604172763</v>
      </c>
      <c r="L46" s="39">
        <f t="shared" si="2"/>
        <v>0.31329874986435668</v>
      </c>
    </row>
    <row r="47" spans="4:12" x14ac:dyDescent="0.25">
      <c r="D47" s="31" t="str">
        <f>'2025 Data'!D49</f>
        <v>Ledger fee on charging customers</v>
      </c>
      <c r="E47" s="31" t="str">
        <f>'2025 Data'!E49</f>
        <v>KSH</v>
      </c>
      <c r="F47" s="92">
        <f>'2023 Data'!F50</f>
        <v>14343910</v>
      </c>
      <c r="G47" s="92">
        <f>'2024 Data'!F50</f>
        <v>12841942</v>
      </c>
      <c r="H47" s="92">
        <f>'2025 Data'!F49</f>
        <v>14326729</v>
      </c>
      <c r="I47" s="138" t="s">
        <v>278</v>
      </c>
      <c r="K47" s="39">
        <f t="shared" si="1"/>
        <v>-0.10471119799273698</v>
      </c>
      <c r="L47" s="39">
        <f t="shared" si="2"/>
        <v>0.11562012972804259</v>
      </c>
    </row>
    <row r="48" spans="4:12" x14ac:dyDescent="0.25">
      <c r="D48" s="31" t="str">
        <f>'2025 Data'!D50</f>
        <v xml:space="preserve">Other Operating Income </v>
      </c>
      <c r="E48" s="31" t="str">
        <f>'2025 Data'!E50</f>
        <v>KSH</v>
      </c>
      <c r="F48" s="92">
        <f>'2023 Data'!F51</f>
        <v>23192234</v>
      </c>
      <c r="G48" s="92">
        <f>'2024 Data'!F51</f>
        <v>24733827</v>
      </c>
      <c r="H48" s="92">
        <f>'2025 Data'!F50</f>
        <v>25711184</v>
      </c>
      <c r="I48" s="138" t="s">
        <v>278</v>
      </c>
      <c r="K48" s="39">
        <f t="shared" si="1"/>
        <v>6.6470224472554129E-2</v>
      </c>
      <c r="L48" s="39">
        <f t="shared" si="2"/>
        <v>3.9514992968940899E-2</v>
      </c>
    </row>
    <row r="49" spans="4:12" s="18" customFormat="1" x14ac:dyDescent="0.25">
      <c r="D49" s="19" t="str">
        <f>'2025 Data'!D51</f>
        <v>Total other operating income</v>
      </c>
      <c r="E49" s="19" t="str">
        <f>'2025 Data'!E51</f>
        <v>KSH</v>
      </c>
      <c r="F49" s="134">
        <f>'2023 Data'!F52</f>
        <v>93912901</v>
      </c>
      <c r="G49" s="134">
        <f>'2024 Data'!F52</f>
        <v>88052615</v>
      </c>
      <c r="H49" s="134">
        <f>'2025 Data'!F51</f>
        <v>90479884</v>
      </c>
      <c r="I49" s="141" t="s">
        <v>278</v>
      </c>
      <c r="K49" s="64">
        <f t="shared" si="1"/>
        <v>-6.2401288189361748E-2</v>
      </c>
      <c r="L49" s="64">
        <f t="shared" si="2"/>
        <v>2.7566120551899553E-2</v>
      </c>
    </row>
    <row r="50" spans="4:12" x14ac:dyDescent="0.25">
      <c r="D50" s="31"/>
      <c r="E50" s="31">
        <f>'2025 Data'!E52</f>
        <v>0</v>
      </c>
      <c r="F50" s="92">
        <f>'2023 Data'!F53</f>
        <v>0</v>
      </c>
      <c r="G50" s="92">
        <f>'2024 Data'!F53</f>
        <v>0</v>
      </c>
      <c r="H50" s="92">
        <f>'2025 Data'!F52</f>
        <v>0</v>
      </c>
      <c r="I50" s="139"/>
    </row>
    <row r="51" spans="4:12" x14ac:dyDescent="0.25">
      <c r="D51" s="31" t="str">
        <f>'2025 Data'!D53</f>
        <v>Other Income</v>
      </c>
      <c r="E51" s="31" t="str">
        <f>'2025 Data'!E53</f>
        <v>KSH</v>
      </c>
      <c r="F51" s="92">
        <f>'2023 Data'!F54</f>
        <v>0</v>
      </c>
      <c r="G51" s="92">
        <f>'2024 Data'!F54</f>
        <v>0</v>
      </c>
      <c r="H51" s="92">
        <f>'2025 Data'!F53</f>
        <v>0</v>
      </c>
      <c r="I51" s="138" t="s">
        <v>278</v>
      </c>
      <c r="K51" s="39">
        <f t="shared" si="1"/>
        <v>0</v>
      </c>
      <c r="L51" s="39">
        <f t="shared" si="2"/>
        <v>0</v>
      </c>
    </row>
    <row r="52" spans="4:12" ht="15.75" thickBot="1" x14ac:dyDescent="0.3">
      <c r="D52" s="31"/>
      <c r="E52" s="31">
        <f>'2025 Data'!E54</f>
        <v>0</v>
      </c>
      <c r="F52" s="92">
        <f>'2023 Data'!F55</f>
        <v>0</v>
      </c>
      <c r="G52" s="92">
        <f>'2024 Data'!F55</f>
        <v>0</v>
      </c>
      <c r="H52" s="92">
        <f>'2025 Data'!F54</f>
        <v>0</v>
      </c>
      <c r="I52" s="139"/>
    </row>
    <row r="53" spans="4:12" ht="15.75" thickBot="1" x14ac:dyDescent="0.3">
      <c r="D53" s="87" t="str">
        <f>'2025 Data'!D55</f>
        <v>Total Revenue</v>
      </c>
      <c r="E53" s="50" t="str">
        <f>'2025 Data'!E55</f>
        <v>KSH</v>
      </c>
      <c r="F53" s="142">
        <f>'2023 Data'!F56</f>
        <v>847503573</v>
      </c>
      <c r="G53" s="142">
        <f>'2024 Data'!F56</f>
        <v>967190810</v>
      </c>
      <c r="H53" s="142">
        <f>'2025 Data'!F55</f>
        <v>1091524083</v>
      </c>
      <c r="I53" s="143" t="s">
        <v>278</v>
      </c>
      <c r="J53" s="7"/>
      <c r="K53" s="88">
        <f t="shared" si="1"/>
        <v>0.14122328307871324</v>
      </c>
      <c r="L53" s="144">
        <f t="shared" si="2"/>
        <v>0.1285509247136043</v>
      </c>
    </row>
    <row r="54" spans="4:12" x14ac:dyDescent="0.25">
      <c r="D54" s="31"/>
      <c r="E54" s="31">
        <f>'2025 Data'!E56</f>
        <v>0</v>
      </c>
      <c r="F54" s="92">
        <f>'2023 Data'!F57</f>
        <v>0</v>
      </c>
      <c r="G54" s="92">
        <f>'2024 Data'!F57</f>
        <v>0</v>
      </c>
      <c r="H54" s="92">
        <f>'2025 Data'!F56</f>
        <v>0</v>
      </c>
      <c r="I54" s="139"/>
    </row>
    <row r="55" spans="4:12" x14ac:dyDescent="0.25">
      <c r="D55" s="31" t="str">
        <f>'2025 Data'!D57</f>
        <v>Interest on savings</v>
      </c>
      <c r="E55" s="31" t="str">
        <f>'2025 Data'!E57</f>
        <v>KSH</v>
      </c>
      <c r="F55" s="92">
        <f>'2023 Data'!F58</f>
        <v>-117780391</v>
      </c>
      <c r="G55" s="92">
        <f>'2024 Data'!F58</f>
        <v>-137377401</v>
      </c>
      <c r="H55" s="92">
        <f>'2025 Data'!F57</f>
        <v>-194768850</v>
      </c>
      <c r="I55" s="138" t="s">
        <v>279</v>
      </c>
      <c r="J55" s="39">
        <f>-F55/F$53</f>
        <v>0.13897332678265889</v>
      </c>
      <c r="K55" s="39">
        <f t="shared" ref="K55:L55" si="3">-G55/G$53</f>
        <v>0.14203753755683432</v>
      </c>
      <c r="L55" s="39">
        <f t="shared" si="3"/>
        <v>0.17843751964197385</v>
      </c>
    </row>
    <row r="56" spans="4:12" x14ac:dyDescent="0.25">
      <c r="D56" s="31" t="str">
        <f>'2025 Data'!D58</f>
        <v xml:space="preserve">Interest on fixed deposits </v>
      </c>
      <c r="E56" s="31" t="str">
        <f>'2025 Data'!E58</f>
        <v>KSH</v>
      </c>
      <c r="F56" s="92">
        <f>'2023 Data'!F59</f>
        <v>-10015942</v>
      </c>
      <c r="G56" s="92">
        <f>'2024 Data'!F59</f>
        <v>-12745753</v>
      </c>
      <c r="H56" s="92">
        <f>'2025 Data'!F58</f>
        <v>-10650246</v>
      </c>
      <c r="I56" s="138" t="s">
        <v>279</v>
      </c>
      <c r="J56" s="39">
        <f t="shared" ref="J56:J58" si="4">-F56/F$53</f>
        <v>1.181817082439604E-2</v>
      </c>
      <c r="K56" s="39">
        <f t="shared" ref="K56:K58" si="5">-G56/G$53</f>
        <v>1.31781163222591E-2</v>
      </c>
      <c r="L56" s="39">
        <f t="shared" ref="L56:L58" si="6">-H56/H$53</f>
        <v>9.757224935182671E-3</v>
      </c>
    </row>
    <row r="57" spans="4:12" x14ac:dyDescent="0.25">
      <c r="D57" s="31" t="str">
        <f>'2025 Data'!D59</f>
        <v>Interest on Diaspora jijenge savings</v>
      </c>
      <c r="E57" s="31" t="str">
        <f>'2025 Data'!E59</f>
        <v>KSH</v>
      </c>
      <c r="F57" s="92">
        <f>'2023 Data'!F60</f>
        <v>0</v>
      </c>
      <c r="G57" s="92">
        <f>'2024 Data'!F60</f>
        <v>0</v>
      </c>
      <c r="H57" s="92">
        <f>'2025 Data'!F59</f>
        <v>-2650123</v>
      </c>
      <c r="I57" s="138" t="s">
        <v>279</v>
      </c>
      <c r="J57" s="39">
        <f t="shared" si="4"/>
        <v>0</v>
      </c>
      <c r="K57" s="39">
        <f t="shared" si="5"/>
        <v>0</v>
      </c>
      <c r="L57" s="39">
        <f t="shared" si="6"/>
        <v>2.4279106996121127E-3</v>
      </c>
    </row>
    <row r="58" spans="4:12" s="18" customFormat="1" x14ac:dyDescent="0.25">
      <c r="D58" s="19" t="str">
        <f>'2025 Data'!D60</f>
        <v>Total interest expense on deposits</v>
      </c>
      <c r="E58" s="19" t="str">
        <f>'2025 Data'!E60</f>
        <v>KSH</v>
      </c>
      <c r="F58" s="134">
        <f>'2023 Data'!F61</f>
        <v>-127796333</v>
      </c>
      <c r="G58" s="134">
        <f>'2024 Data'!F61</f>
        <v>-150123154</v>
      </c>
      <c r="H58" s="134">
        <f>'2025 Data'!F60</f>
        <v>-208069219</v>
      </c>
      <c r="I58" s="141" t="s">
        <v>279</v>
      </c>
      <c r="J58" s="64">
        <f t="shared" si="4"/>
        <v>0.15079149760705493</v>
      </c>
      <c r="K58" s="64">
        <f t="shared" si="5"/>
        <v>0.15521565387909342</v>
      </c>
      <c r="L58" s="64">
        <f t="shared" si="6"/>
        <v>0.19062265527676864</v>
      </c>
    </row>
    <row r="59" spans="4:12" x14ac:dyDescent="0.25">
      <c r="D59" s="31"/>
      <c r="E59" s="31">
        <f>'2025 Data'!E61</f>
        <v>0</v>
      </c>
      <c r="F59" s="92">
        <f>'2023 Data'!F62</f>
        <v>0</v>
      </c>
      <c r="G59" s="92">
        <f>'2024 Data'!F62</f>
        <v>0</v>
      </c>
      <c r="H59" s="92">
        <f>'2025 Data'!F61</f>
        <v>0</v>
      </c>
      <c r="I59" s="139"/>
      <c r="J59" s="136"/>
      <c r="K59" s="136"/>
    </row>
    <row r="60" spans="4:12" x14ac:dyDescent="0.25">
      <c r="D60" s="31" t="str">
        <f>'2025 Data'!D62</f>
        <v>Mobile deposit charges paybill</v>
      </c>
      <c r="E60" s="31" t="str">
        <f>'2025 Data'!E62</f>
        <v>KSH</v>
      </c>
      <c r="F60" s="92">
        <f>'2023 Data'!F63</f>
        <v>-17576878</v>
      </c>
      <c r="G60" s="92">
        <f>'2024 Data'!F63</f>
        <v>-10588128</v>
      </c>
      <c r="H60" s="92">
        <f>'2025 Data'!F62</f>
        <v>-10966219</v>
      </c>
      <c r="I60" s="138" t="s">
        <v>279</v>
      </c>
      <c r="J60" s="39">
        <f t="shared" ref="J60:J64" si="7">-F60/F$53</f>
        <v>2.0739591619397219E-2</v>
      </c>
      <c r="K60" s="39">
        <f t="shared" ref="K60:K64" si="8">-G60/G$53</f>
        <v>1.0947300047236801E-2</v>
      </c>
      <c r="L60" s="39">
        <f t="shared" ref="L60:L64" si="9">-H60/H$53</f>
        <v>1.0046703660316765E-2</v>
      </c>
    </row>
    <row r="61" spans="4:12" x14ac:dyDescent="0.25">
      <c r="D61" s="31" t="str">
        <f>'2025 Data'!D63</f>
        <v>loss impairement of financial assets</v>
      </c>
      <c r="E61" s="31" t="str">
        <f>'2025 Data'!E63</f>
        <v>KSH</v>
      </c>
      <c r="F61" s="92">
        <f>'2023 Data'!F64</f>
        <v>0</v>
      </c>
      <c r="G61" s="92">
        <f>'2024 Data'!F64</f>
        <v>-736927</v>
      </c>
      <c r="H61" s="92">
        <f>'2025 Data'!F63</f>
        <v>-21178647</v>
      </c>
      <c r="I61" s="138" t="s">
        <v>279</v>
      </c>
      <c r="J61" s="39">
        <f t="shared" si="7"/>
        <v>0</v>
      </c>
      <c r="K61" s="39">
        <f t="shared" si="8"/>
        <v>7.6192514691077347E-4</v>
      </c>
      <c r="L61" s="39">
        <f t="shared" si="9"/>
        <v>1.9402821550021633E-2</v>
      </c>
    </row>
    <row r="62" spans="4:12" x14ac:dyDescent="0.25">
      <c r="D62" s="31" t="str">
        <f>'2025 Data'!D64</f>
        <v>Appraisal fee</v>
      </c>
      <c r="E62" s="31" t="str">
        <f>'2025 Data'!E64</f>
        <v>KSH</v>
      </c>
      <c r="F62" s="92">
        <f>'2023 Data'!F65</f>
        <v>0</v>
      </c>
      <c r="G62" s="92">
        <f>'2024 Data'!F65</f>
        <v>-22700</v>
      </c>
      <c r="H62" s="92">
        <f>'2025 Data'!F64</f>
        <v>-24809401</v>
      </c>
      <c r="I62" s="138" t="s">
        <v>279</v>
      </c>
      <c r="J62" s="39">
        <f t="shared" si="7"/>
        <v>0</v>
      </c>
      <c r="K62" s="39">
        <f>-G62/G$53</f>
        <v>2.3470032764269132E-5</v>
      </c>
      <c r="L62" s="39">
        <f t="shared" si="9"/>
        <v>2.2729137530170279E-2</v>
      </c>
    </row>
    <row r="63" spans="4:12" x14ac:dyDescent="0.25">
      <c r="D63" s="31" t="str">
        <f>'2025 Data'!D65</f>
        <v>Other Expenses</v>
      </c>
      <c r="E63" s="31" t="str">
        <f>'2025 Data'!E65</f>
        <v>KSH</v>
      </c>
      <c r="F63" s="92">
        <f>'2023 Data'!F66</f>
        <v>-759178</v>
      </c>
      <c r="G63" s="92">
        <f>'2024 Data'!F66</f>
        <v>-671146</v>
      </c>
      <c r="H63" s="92">
        <f>'2025 Data'!F65</f>
        <v>-875964</v>
      </c>
      <c r="I63" s="138" t="s">
        <v>279</v>
      </c>
      <c r="J63" s="39">
        <f t="shared" si="7"/>
        <v>8.9578147418618609E-4</v>
      </c>
      <c r="K63" s="39">
        <f t="shared" si="8"/>
        <v>6.9391271407965509E-4</v>
      </c>
      <c r="L63" s="39">
        <f t="shared" si="9"/>
        <v>8.0251458821912222E-4</v>
      </c>
    </row>
    <row r="64" spans="4:12" s="18" customFormat="1" x14ac:dyDescent="0.25">
      <c r="D64" s="19" t="str">
        <f>'2025 Data'!D66</f>
        <v xml:space="preserve">Total fees and commission expenses </v>
      </c>
      <c r="E64" s="19" t="str">
        <f>'2025 Data'!E66</f>
        <v>KSH</v>
      </c>
      <c r="F64" s="134">
        <f>'2023 Data'!F67</f>
        <v>-18336056</v>
      </c>
      <c r="G64" s="134">
        <f>'2024 Data'!F67</f>
        <v>-12018901</v>
      </c>
      <c r="H64" s="134">
        <f>'2025 Data'!F66</f>
        <v>-57830231</v>
      </c>
      <c r="I64" s="141" t="s">
        <v>279</v>
      </c>
      <c r="J64" s="64">
        <f t="shared" si="7"/>
        <v>2.1635373093583404E-2</v>
      </c>
      <c r="K64" s="64">
        <f t="shared" si="8"/>
        <v>1.2426607940991499E-2</v>
      </c>
      <c r="L64" s="64">
        <f t="shared" si="9"/>
        <v>5.2981177328727799E-2</v>
      </c>
    </row>
    <row r="65" spans="4:12" x14ac:dyDescent="0.25">
      <c r="D65" s="31"/>
      <c r="E65" s="31">
        <f>'2025 Data'!E67</f>
        <v>0</v>
      </c>
      <c r="F65" s="92">
        <f>'2023 Data'!F68</f>
        <v>0</v>
      </c>
      <c r="G65" s="92">
        <f>'2024 Data'!F68</f>
        <v>0</v>
      </c>
      <c r="H65" s="92">
        <f>'2025 Data'!F67</f>
        <v>0</v>
      </c>
      <c r="I65" s="139"/>
      <c r="J65" s="136"/>
      <c r="K65" s="136"/>
    </row>
    <row r="66" spans="4:12" x14ac:dyDescent="0.25">
      <c r="D66" s="31" t="str">
        <f>'2025 Data'!D68</f>
        <v>Other Expenses</v>
      </c>
      <c r="E66" s="31" t="str">
        <f>'2025 Data'!E68</f>
        <v>KSH</v>
      </c>
      <c r="F66" s="92">
        <f>'2023 Data'!F69</f>
        <v>0</v>
      </c>
      <c r="G66" s="92">
        <f>'2024 Data'!F69</f>
        <v>0</v>
      </c>
      <c r="H66" s="92">
        <f>'2025 Data'!F68</f>
        <v>-765718</v>
      </c>
      <c r="I66" s="138" t="s">
        <v>279</v>
      </c>
      <c r="J66" s="39">
        <f t="shared" ref="J66" si="10">-F66/F$53</f>
        <v>0</v>
      </c>
      <c r="K66" s="39">
        <f t="shared" ref="K66" si="11">-G66/G$53</f>
        <v>0</v>
      </c>
      <c r="L66" s="39">
        <f t="shared" ref="L66" si="12">-H66/H$53</f>
        <v>7.015126939714073E-4</v>
      </c>
    </row>
    <row r="67" spans="4:12" x14ac:dyDescent="0.25">
      <c r="D67" s="31"/>
      <c r="E67" s="31">
        <f>'2025 Data'!E69</f>
        <v>0</v>
      </c>
      <c r="F67" s="92">
        <f>'2023 Data'!F70</f>
        <v>0</v>
      </c>
      <c r="G67" s="92">
        <f>'2024 Data'!F70</f>
        <v>0</v>
      </c>
      <c r="H67" s="92">
        <f>'2025 Data'!F69</f>
        <v>0</v>
      </c>
      <c r="I67" s="139"/>
      <c r="J67" s="136"/>
      <c r="K67" s="136"/>
    </row>
    <row r="68" spans="4:12" x14ac:dyDescent="0.25">
      <c r="D68" s="31" t="str">
        <f>'2025 Data'!D70</f>
        <v>Total Provision for Loan Losses</v>
      </c>
      <c r="E68" s="31" t="str">
        <f>'2025 Data'!E70</f>
        <v>KSH</v>
      </c>
      <c r="F68" s="92">
        <f>'2023 Data'!F71</f>
        <v>-130646575</v>
      </c>
      <c r="G68" s="92">
        <f>'2024 Data'!F71</f>
        <v>-117296332</v>
      </c>
      <c r="H68" s="92">
        <f>'2025 Data'!F70</f>
        <v>-54165271</v>
      </c>
      <c r="I68" s="138" t="s">
        <v>279</v>
      </c>
      <c r="J68" s="39">
        <f t="shared" ref="J68" si="13">-F68/F$53</f>
        <v>0.15415460083257962</v>
      </c>
      <c r="K68" s="39">
        <f t="shared" ref="K68" si="14">-G68/G$53</f>
        <v>0.12127527555808765</v>
      </c>
      <c r="L68" s="39">
        <f t="shared" ref="L68" si="15">-H68/H$53</f>
        <v>4.9623523515055598E-2</v>
      </c>
    </row>
    <row r="69" spans="4:12" x14ac:dyDescent="0.25">
      <c r="D69" s="31"/>
      <c r="E69" s="31">
        <f>'2025 Data'!E71</f>
        <v>0</v>
      </c>
      <c r="F69" s="92">
        <f>'2023 Data'!F72</f>
        <v>0</v>
      </c>
      <c r="G69" s="92">
        <f>'2024 Data'!F72</f>
        <v>0</v>
      </c>
      <c r="H69" s="92">
        <f>'2025 Data'!F71</f>
        <v>0</v>
      </c>
      <c r="I69" s="139"/>
      <c r="J69" s="136"/>
      <c r="K69" s="136"/>
    </row>
    <row r="70" spans="4:12" x14ac:dyDescent="0.25">
      <c r="D70" s="31" t="str">
        <f>'2025 Data'!D72</f>
        <v>Staff salaries</v>
      </c>
      <c r="E70" s="31" t="str">
        <f>'2025 Data'!E72</f>
        <v>KSH</v>
      </c>
      <c r="F70" s="92">
        <f>'2023 Data'!F73</f>
        <v>-87948465</v>
      </c>
      <c r="G70" s="92">
        <f>'2024 Data'!F73</f>
        <v>-93418728</v>
      </c>
      <c r="H70" s="92">
        <f>'2025 Data'!F72</f>
        <v>-99004652</v>
      </c>
      <c r="I70" s="138" t="s">
        <v>279</v>
      </c>
      <c r="J70" s="39">
        <f t="shared" ref="J70:J73" si="16">-F70/F$53</f>
        <v>0.10377356249800732</v>
      </c>
      <c r="K70" s="39">
        <f t="shared" ref="K70:K73" si="17">-G70/G$53</f>
        <v>9.6587691936402917E-2</v>
      </c>
      <c r="L70" s="39">
        <f t="shared" ref="L70:L73" si="18">-H70/H$53</f>
        <v>9.070313110077298E-2</v>
      </c>
    </row>
    <row r="71" spans="4:12" x14ac:dyDescent="0.25">
      <c r="D71" s="31" t="str">
        <f>'2025 Data'!D73</f>
        <v>House alowance</v>
      </c>
      <c r="E71" s="31" t="str">
        <f>'2025 Data'!E73</f>
        <v>KSH</v>
      </c>
      <c r="F71" s="92">
        <f>'2023 Data'!F74</f>
        <v>-20555655</v>
      </c>
      <c r="G71" s="92">
        <f>'2024 Data'!F74</f>
        <v>-21733528</v>
      </c>
      <c r="H71" s="92">
        <f>'2025 Data'!F73</f>
        <v>-23173335</v>
      </c>
      <c r="I71" s="138" t="s">
        <v>279</v>
      </c>
      <c r="J71" s="39">
        <f t="shared" si="16"/>
        <v>2.4254357922335271E-2</v>
      </c>
      <c r="K71" s="39">
        <f t="shared" si="17"/>
        <v>2.2470775957848483E-2</v>
      </c>
      <c r="L71" s="39">
        <f t="shared" si="18"/>
        <v>2.1230255347467218E-2</v>
      </c>
    </row>
    <row r="72" spans="4:12" x14ac:dyDescent="0.25">
      <c r="D72" s="31" t="str">
        <f>'2025 Data'!D74</f>
        <v>Other personnel expenses</v>
      </c>
      <c r="E72" s="31" t="str">
        <f>'2025 Data'!E74</f>
        <v>KSH</v>
      </c>
      <c r="F72" s="92">
        <f>'2023 Data'!F75</f>
        <v>-49662288</v>
      </c>
      <c r="G72" s="92">
        <f>'2024 Data'!F75</f>
        <v>-51537083</v>
      </c>
      <c r="H72" s="92">
        <f>'2025 Data'!F74</f>
        <v>-54734958</v>
      </c>
      <c r="I72" s="138" t="s">
        <v>279</v>
      </c>
      <c r="J72" s="39">
        <f t="shared" si="16"/>
        <v>5.8598322865123779E-2</v>
      </c>
      <c r="K72" s="39">
        <f t="shared" si="17"/>
        <v>5.3285331567614877E-2</v>
      </c>
      <c r="L72" s="39">
        <f t="shared" si="18"/>
        <v>5.0145442370418132E-2</v>
      </c>
    </row>
    <row r="73" spans="4:12" s="18" customFormat="1" x14ac:dyDescent="0.25">
      <c r="D73" s="19" t="str">
        <f>'2025 Data'!D75</f>
        <v xml:space="preserve">Total personnel expenses </v>
      </c>
      <c r="E73" s="19" t="str">
        <f>'2025 Data'!E75</f>
        <v>KSH</v>
      </c>
      <c r="F73" s="134">
        <f>'2023 Data'!F76</f>
        <v>-158166408</v>
      </c>
      <c r="G73" s="134">
        <f>'2024 Data'!F76</f>
        <v>-166689339</v>
      </c>
      <c r="H73" s="134">
        <f>'2025 Data'!F75</f>
        <v>-176912945</v>
      </c>
      <c r="I73" s="141" t="s">
        <v>279</v>
      </c>
      <c r="J73" s="64">
        <f t="shared" si="16"/>
        <v>0.18662624328546637</v>
      </c>
      <c r="K73" s="64">
        <f t="shared" si="17"/>
        <v>0.17234379946186626</v>
      </c>
      <c r="L73" s="64">
        <f t="shared" si="18"/>
        <v>0.16207882881865832</v>
      </c>
    </row>
    <row r="74" spans="4:12" x14ac:dyDescent="0.25">
      <c r="D74" s="31"/>
      <c r="E74" s="31">
        <f>'2025 Data'!E76</f>
        <v>0</v>
      </c>
      <c r="F74" s="92">
        <f>'2023 Data'!F77</f>
        <v>0</v>
      </c>
      <c r="G74" s="92">
        <f>'2024 Data'!F77</f>
        <v>0</v>
      </c>
      <c r="H74" s="92">
        <f>'2025 Data'!F76</f>
        <v>0</v>
      </c>
      <c r="I74" s="139"/>
      <c r="J74" s="136"/>
      <c r="K74" s="136"/>
    </row>
    <row r="75" spans="4:12" x14ac:dyDescent="0.25">
      <c r="D75" s="31" t="str">
        <f>'2025 Data'!D77</f>
        <v>Total governance Expenses</v>
      </c>
      <c r="E75" s="31" t="str">
        <f>'2025 Data'!E77</f>
        <v>KSH</v>
      </c>
      <c r="F75" s="92">
        <f>'2023 Data'!F78</f>
        <v>-43554754</v>
      </c>
      <c r="G75" s="92">
        <f>'2024 Data'!F78</f>
        <v>-56550927</v>
      </c>
      <c r="H75" s="92">
        <f>'2025 Data'!F77</f>
        <v>-47313870</v>
      </c>
      <c r="I75" s="138" t="s">
        <v>279</v>
      </c>
      <c r="J75" s="39">
        <f t="shared" ref="J75" si="19">-F75/F$53</f>
        <v>5.1391823453704778E-2</v>
      </c>
      <c r="K75" s="39">
        <f t="shared" ref="K75" si="20">-G75/G$53</f>
        <v>5.8469255926863077E-2</v>
      </c>
      <c r="L75" s="39">
        <f t="shared" ref="L75" si="21">-H75/H$53</f>
        <v>4.334661116222023E-2</v>
      </c>
    </row>
    <row r="76" spans="4:12" x14ac:dyDescent="0.25">
      <c r="D76" s="31"/>
      <c r="E76" s="31">
        <f>'2025 Data'!E78</f>
        <v>0</v>
      </c>
      <c r="F76" s="92">
        <f>'2023 Data'!F79</f>
        <v>0</v>
      </c>
      <c r="G76" s="92">
        <f>'2024 Data'!F79</f>
        <v>0</v>
      </c>
      <c r="H76" s="92">
        <f>'2025 Data'!F78</f>
        <v>0</v>
      </c>
      <c r="I76" s="139"/>
      <c r="J76" s="136"/>
      <c r="K76" s="136"/>
    </row>
    <row r="77" spans="4:12" x14ac:dyDescent="0.25">
      <c r="D77" s="31" t="str">
        <f>'2025 Data'!D79</f>
        <v>Total Marketing Expenses</v>
      </c>
      <c r="E77" s="31" t="str">
        <f>'2025 Data'!E79</f>
        <v>KSH</v>
      </c>
      <c r="F77" s="92">
        <f>'2023 Data'!F80</f>
        <v>-2053376</v>
      </c>
      <c r="G77" s="92">
        <f>'2024 Data'!F80</f>
        <v>-1717399</v>
      </c>
      <c r="H77" s="92">
        <f>'2025 Data'!F79</f>
        <v>-2474757</v>
      </c>
      <c r="I77" s="138" t="s">
        <v>279</v>
      </c>
      <c r="J77" s="39">
        <f t="shared" ref="J77" si="22">-F77/F$53</f>
        <v>2.422852322299295E-3</v>
      </c>
      <c r="K77" s="39">
        <f t="shared" ref="K77" si="23">-G77/G$53</f>
        <v>1.7756568634063013E-3</v>
      </c>
      <c r="L77" s="39">
        <f t="shared" ref="L77" si="24">-H77/H$53</f>
        <v>2.2672491047547507E-3</v>
      </c>
    </row>
    <row r="78" spans="4:12" x14ac:dyDescent="0.25">
      <c r="D78" s="31"/>
      <c r="E78" s="31">
        <f>'2025 Data'!E80</f>
        <v>0</v>
      </c>
      <c r="F78" s="92">
        <f>'2023 Data'!F81</f>
        <v>0</v>
      </c>
      <c r="G78" s="92">
        <f>'2024 Data'!F81</f>
        <v>0</v>
      </c>
      <c r="H78" s="92">
        <f>'2025 Data'!F80</f>
        <v>0</v>
      </c>
      <c r="I78" s="139"/>
      <c r="J78" s="136"/>
      <c r="K78" s="136"/>
    </row>
    <row r="79" spans="4:12" x14ac:dyDescent="0.25">
      <c r="D79" s="31" t="str">
        <f>'2025 Data'!D81</f>
        <v>Total Depreciation and amortization</v>
      </c>
      <c r="E79" s="31" t="str">
        <f>'2025 Data'!E81</f>
        <v>KSH</v>
      </c>
      <c r="F79" s="92">
        <f>'2023 Data'!F82</f>
        <v>-2995686</v>
      </c>
      <c r="G79" s="92">
        <f>'2024 Data'!F82</f>
        <v>-2564321</v>
      </c>
      <c r="H79" s="92">
        <f>'2025 Data'!F81</f>
        <v>-3305308</v>
      </c>
      <c r="I79" s="138" t="s">
        <v>279</v>
      </c>
      <c r="J79" s="39">
        <f t="shared" ref="J79" si="25">-F79/F$53</f>
        <v>3.5347178412426586E-3</v>
      </c>
      <c r="K79" s="39">
        <f t="shared" ref="K79" si="26">-G79/G$53</f>
        <v>2.6513082770089594E-3</v>
      </c>
      <c r="L79" s="39">
        <f t="shared" ref="L79" si="27">-H79/H$53</f>
        <v>3.0281585642302315E-3</v>
      </c>
    </row>
    <row r="80" spans="4:12" x14ac:dyDescent="0.25">
      <c r="D80" s="31"/>
      <c r="E80" s="31">
        <f>'2025 Data'!E82</f>
        <v>0</v>
      </c>
      <c r="F80" s="92">
        <f>'2023 Data'!F83</f>
        <v>0</v>
      </c>
      <c r="G80" s="92">
        <f>'2024 Data'!F83</f>
        <v>0</v>
      </c>
      <c r="H80" s="92">
        <f>'2025 Data'!F82</f>
        <v>0</v>
      </c>
      <c r="I80" s="139"/>
      <c r="J80" s="136"/>
      <c r="K80" s="136"/>
    </row>
    <row r="81" spans="2:22" x14ac:dyDescent="0.25">
      <c r="D81" s="31" t="str">
        <f>'2025 Data'!D83</f>
        <v>Security</v>
      </c>
      <c r="E81" s="31" t="str">
        <f>'2025 Data'!E83</f>
        <v>KSH</v>
      </c>
      <c r="F81" s="92">
        <f>'2023 Data'!F84</f>
        <v>-26115116</v>
      </c>
      <c r="G81" s="92">
        <f>'2024 Data'!F84</f>
        <v>-27077015</v>
      </c>
      <c r="H81" s="92">
        <f>'2025 Data'!F83</f>
        <v>-27026462</v>
      </c>
      <c r="I81" s="138" t="s">
        <v>279</v>
      </c>
      <c r="J81" s="39">
        <f t="shared" ref="J81:J83" si="28">-F81/F$53</f>
        <v>3.0814166254848344E-2</v>
      </c>
      <c r="K81" s="39">
        <f t="shared" ref="K81:K83" si="29">-G81/G$53</f>
        <v>2.7995525515797655E-2</v>
      </c>
      <c r="L81" s="39">
        <f t="shared" ref="L81:L83" si="30">-H81/H$53</f>
        <v>2.4760298394625527E-2</v>
      </c>
    </row>
    <row r="82" spans="2:22" x14ac:dyDescent="0.25">
      <c r="D82" s="31" t="str">
        <f>'2025 Data'!D84</f>
        <v>Other Admin Expenses</v>
      </c>
      <c r="E82" s="31" t="str">
        <f>'2025 Data'!E84</f>
        <v>KSH</v>
      </c>
      <c r="F82" s="92">
        <f>'2023 Data'!F85</f>
        <v>-56401045</v>
      </c>
      <c r="G82" s="92">
        <f>'2024 Data'!F85</f>
        <v>-58548388</v>
      </c>
      <c r="H82" s="92">
        <f>'2025 Data'!F84</f>
        <v>-54136686</v>
      </c>
      <c r="I82" s="138" t="s">
        <v>279</v>
      </c>
      <c r="J82" s="39">
        <f t="shared" si="28"/>
        <v>6.654962503621209E-2</v>
      </c>
      <c r="K82" s="39">
        <f t="shared" si="29"/>
        <v>6.0534475094940157E-2</v>
      </c>
      <c r="L82" s="39">
        <f t="shared" si="30"/>
        <v>4.9597335361770481E-2</v>
      </c>
    </row>
    <row r="83" spans="2:22" s="18" customFormat="1" x14ac:dyDescent="0.25">
      <c r="D83" s="19" t="str">
        <f>'2025 Data'!D85</f>
        <v>Total Admin expenses</v>
      </c>
      <c r="E83" s="19" t="str">
        <f>'2025 Data'!E85</f>
        <v>KSH</v>
      </c>
      <c r="F83" s="134">
        <f>'2023 Data'!F86</f>
        <v>-82516161</v>
      </c>
      <c r="G83" s="134">
        <f>'2024 Data'!F86</f>
        <v>-85625403</v>
      </c>
      <c r="H83" s="134">
        <f>'2025 Data'!F85</f>
        <v>-81163148</v>
      </c>
      <c r="I83" s="141" t="s">
        <v>279</v>
      </c>
      <c r="J83" s="64">
        <f t="shared" si="28"/>
        <v>9.7363791291060431E-2</v>
      </c>
      <c r="K83" s="64">
        <f t="shared" si="29"/>
        <v>8.8530000610737819E-2</v>
      </c>
      <c r="L83" s="64">
        <f t="shared" si="30"/>
        <v>7.4357633756396008E-2</v>
      </c>
    </row>
    <row r="84" spans="2:22" ht="15.75" thickBot="1" x14ac:dyDescent="0.3">
      <c r="D84" s="31"/>
      <c r="E84" s="31">
        <f>'2025 Data'!E86</f>
        <v>0</v>
      </c>
      <c r="F84" s="92">
        <f>'2023 Data'!F87</f>
        <v>0</v>
      </c>
      <c r="G84" s="92">
        <f>'2024 Data'!F87</f>
        <v>0</v>
      </c>
      <c r="H84" s="92">
        <f>'2025 Data'!F86</f>
        <v>0</v>
      </c>
      <c r="I84" s="139"/>
      <c r="J84" s="136"/>
      <c r="K84" s="136"/>
    </row>
    <row r="85" spans="2:22" ht="15.75" thickBot="1" x14ac:dyDescent="0.3">
      <c r="D85" s="87" t="str">
        <f>'2025 Data'!D87</f>
        <v>Total Expenses</v>
      </c>
      <c r="E85" s="50" t="str">
        <f>'2025 Data'!E87</f>
        <v>KSH</v>
      </c>
      <c r="F85" s="142">
        <f>'2023 Data'!F88</f>
        <v>-566065349</v>
      </c>
      <c r="G85" s="142">
        <f>'2024 Data'!F88</f>
        <v>-592585776</v>
      </c>
      <c r="H85" s="142">
        <f>'2025 Data'!F87</f>
        <v>-632000467</v>
      </c>
      <c r="I85" s="143" t="s">
        <v>279</v>
      </c>
      <c r="J85" s="88">
        <f t="shared" ref="J85" si="31">-F85/F$53</f>
        <v>0.66792089972699142</v>
      </c>
      <c r="K85" s="88">
        <f t="shared" ref="K85" si="32">-G85/G$53</f>
        <v>0.61268755851805501</v>
      </c>
      <c r="L85" s="144">
        <f t="shared" ref="L85" si="33">-H85/H$53</f>
        <v>0.57900735022078298</v>
      </c>
    </row>
    <row r="86" spans="2:22" ht="15.75" thickBot="1" x14ac:dyDescent="0.3">
      <c r="D86" s="31"/>
      <c r="E86" s="31">
        <f>'2025 Data'!E88</f>
        <v>0</v>
      </c>
      <c r="F86" s="92">
        <f>'2023 Data'!F89</f>
        <v>0</v>
      </c>
      <c r="G86" s="92">
        <f>'2024 Data'!F89</f>
        <v>0</v>
      </c>
      <c r="H86" s="92">
        <f>'2025 Data'!F88</f>
        <v>0</v>
      </c>
      <c r="I86" s="139"/>
      <c r="J86" s="136"/>
      <c r="K86" s="136"/>
    </row>
    <row r="87" spans="2:22" ht="15.75" thickBot="1" x14ac:dyDescent="0.3">
      <c r="D87" s="146" t="str">
        <f>'2025 Data'!D89</f>
        <v>Banking Operating Profit</v>
      </c>
      <c r="E87" s="147" t="str">
        <f>'2025 Data'!E89</f>
        <v>KSH</v>
      </c>
      <c r="F87" s="148">
        <f>'2023 Data'!F90</f>
        <v>281438224</v>
      </c>
      <c r="G87" s="148">
        <f>'2024 Data'!F90</f>
        <v>374605034</v>
      </c>
      <c r="H87" s="148">
        <f>'2025 Data'!F89</f>
        <v>459523616</v>
      </c>
      <c r="I87" s="149" t="s">
        <v>279</v>
      </c>
      <c r="J87" s="150">
        <f>F87/F$53</f>
        <v>0.33207910027300852</v>
      </c>
      <c r="K87" s="150">
        <f t="shared" ref="K87:L87" si="34">G87/G$53</f>
        <v>0.38731244148194499</v>
      </c>
      <c r="L87" s="151">
        <f t="shared" si="34"/>
        <v>0.42099264977921702</v>
      </c>
    </row>
    <row r="88" spans="2:22" x14ac:dyDescent="0.25">
      <c r="D88" s="31"/>
      <c r="E88" s="31"/>
      <c r="F88" s="31"/>
      <c r="G88" s="31"/>
      <c r="H88" s="31"/>
      <c r="I88" s="136"/>
      <c r="J88" s="31"/>
    </row>
    <row r="89" spans="2:22" x14ac:dyDescent="0.25">
      <c r="D89" s="31"/>
      <c r="E89" s="31"/>
      <c r="F89" s="31"/>
      <c r="G89" s="31"/>
      <c r="H89" s="31"/>
    </row>
    <row r="90" spans="2:22" x14ac:dyDescent="0.25">
      <c r="B90" s="42" t="s">
        <v>114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7030A0"/>
  </sheetPr>
  <dimension ref="A2:BG331"/>
  <sheetViews>
    <sheetView zoomScale="10" zoomScaleNormal="10" workbookViewId="0">
      <pane xSplit="8" ySplit="3" topLeftCell="I4" activePane="bottomRight" state="frozen"/>
      <selection pane="topRight" activeCell="G1" sqref="G1"/>
      <selection pane="bottomLeft" activeCell="A3" sqref="A3"/>
      <selection pane="bottomRight" activeCell="N145" sqref="N145"/>
    </sheetView>
  </sheetViews>
  <sheetFormatPr defaultColWidth="0" defaultRowHeight="15" x14ac:dyDescent="0.25"/>
  <cols>
    <col min="1" max="2" width="1.7109375" customWidth="1"/>
    <col min="3" max="3" width="1.140625" customWidth="1"/>
    <col min="4" max="4" width="58.140625" bestFit="1" customWidth="1"/>
    <col min="5" max="5" width="21.7109375" bestFit="1" customWidth="1"/>
    <col min="6" max="6" width="16.42578125" bestFit="1" customWidth="1"/>
    <col min="7" max="7" width="16.28515625" customWidth="1"/>
    <col min="8" max="8" width="20.140625" customWidth="1"/>
    <col min="9" max="10" width="15.5703125" bestFit="1" customWidth="1"/>
    <col min="11" max="12" width="15.140625" bestFit="1" customWidth="1"/>
    <col min="13" max="13" width="15.5703125" bestFit="1" customWidth="1"/>
    <col min="14" max="14" width="15.140625" bestFit="1" customWidth="1"/>
    <col min="15" max="15" width="15.5703125" bestFit="1" customWidth="1"/>
    <col min="16" max="22" width="15.140625" bestFit="1" customWidth="1"/>
    <col min="23" max="23" width="15.5703125" bestFit="1" customWidth="1"/>
    <col min="24" max="24" width="15.140625" bestFit="1" customWidth="1"/>
    <col min="25" max="25" width="9.140625" customWidth="1"/>
    <col min="26" max="59" width="0" hidden="1" customWidth="1"/>
    <col min="60" max="16384" width="9.140625" hidden="1"/>
  </cols>
  <sheetData>
    <row r="2" spans="2:59" x14ac:dyDescent="0.25">
      <c r="B2" s="42"/>
      <c r="C2" s="42"/>
      <c r="D2" s="42" t="str">
        <f>'2024 Data'!D2</f>
        <v>K - Unity Data</v>
      </c>
    </row>
    <row r="3" spans="2:59" s="10" customFormat="1" x14ac:dyDescent="0.25">
      <c r="B3" s="9"/>
      <c r="C3" s="9"/>
      <c r="D3" s="27">
        <v>2025</v>
      </c>
      <c r="E3" s="9"/>
      <c r="F3" s="68" t="s">
        <v>16</v>
      </c>
      <c r="G3" s="68" t="s">
        <v>84</v>
      </c>
      <c r="H3" s="68" t="s">
        <v>83</v>
      </c>
      <c r="I3" s="9" t="s">
        <v>0</v>
      </c>
      <c r="J3" s="9" t="s">
        <v>1</v>
      </c>
      <c r="K3" s="9" t="s">
        <v>2</v>
      </c>
      <c r="L3" s="9" t="s">
        <v>3</v>
      </c>
      <c r="M3" s="9" t="s">
        <v>4</v>
      </c>
      <c r="N3" s="9" t="s">
        <v>5</v>
      </c>
      <c r="O3" s="9" t="s">
        <v>6</v>
      </c>
      <c r="P3" s="9" t="s">
        <v>7</v>
      </c>
      <c r="Q3" s="9" t="s">
        <v>8</v>
      </c>
      <c r="R3" s="9" t="s">
        <v>9</v>
      </c>
      <c r="S3" s="9" t="s">
        <v>10</v>
      </c>
      <c r="T3" s="9" t="s">
        <v>11</v>
      </c>
      <c r="U3" s="9" t="s">
        <v>12</v>
      </c>
      <c r="V3" s="9" t="s">
        <v>13</v>
      </c>
      <c r="W3" s="9" t="s">
        <v>14</v>
      </c>
      <c r="X3" s="9" t="s">
        <v>15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2:59" s="10" customFormat="1" x14ac:dyDescent="0.25"/>
    <row r="5" spans="2:59" s="10" customFormat="1" x14ac:dyDescent="0.25">
      <c r="B5" s="89"/>
      <c r="C5" s="27" t="s">
        <v>82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2:59" x14ac:dyDescent="0.25">
      <c r="D6" t="s">
        <v>17</v>
      </c>
      <c r="E6" t="s">
        <v>37</v>
      </c>
      <c r="F6" s="13">
        <f t="shared" ref="F6:F24" si="0">SUM(I6:X6)</f>
        <v>46170443</v>
      </c>
      <c r="G6" s="21"/>
      <c r="H6" s="13"/>
      <c r="I6" s="4">
        <v>2460400</v>
      </c>
      <c r="J6" s="4">
        <v>12060595</v>
      </c>
      <c r="K6" s="4">
        <v>3105538</v>
      </c>
      <c r="L6" s="4">
        <v>2375219</v>
      </c>
      <c r="M6" s="4">
        <v>5871443</v>
      </c>
      <c r="N6" s="4">
        <v>719046</v>
      </c>
      <c r="O6" s="4">
        <v>2191385</v>
      </c>
      <c r="P6" s="4">
        <v>1888828</v>
      </c>
      <c r="Q6" s="4">
        <v>223336</v>
      </c>
      <c r="R6" s="4">
        <v>175</v>
      </c>
      <c r="S6" s="4">
        <v>7549893</v>
      </c>
      <c r="T6" s="4">
        <v>29854</v>
      </c>
      <c r="U6" s="4">
        <v>264164</v>
      </c>
      <c r="V6" s="4">
        <v>42924</v>
      </c>
      <c r="W6" s="4">
        <v>7287819</v>
      </c>
      <c r="X6" s="4">
        <v>99824</v>
      </c>
    </row>
    <row r="7" spans="2:59" x14ac:dyDescent="0.25">
      <c r="D7" t="s">
        <v>18</v>
      </c>
      <c r="E7" t="s">
        <v>37</v>
      </c>
      <c r="F7" s="13">
        <f t="shared" si="0"/>
        <v>64698667</v>
      </c>
      <c r="G7" s="21"/>
      <c r="H7" s="13"/>
      <c r="I7" s="4">
        <v>6704834</v>
      </c>
      <c r="J7" s="4">
        <v>5902276</v>
      </c>
      <c r="K7" s="4">
        <v>1504528</v>
      </c>
      <c r="L7" s="4">
        <v>6446852</v>
      </c>
      <c r="M7" s="4">
        <v>7172253</v>
      </c>
      <c r="N7" s="4">
        <v>4921519</v>
      </c>
      <c r="O7" s="4">
        <v>5464171</v>
      </c>
      <c r="P7" s="4">
        <v>5875619</v>
      </c>
      <c r="Q7" s="4">
        <v>2527197</v>
      </c>
      <c r="R7" s="4">
        <v>8615855</v>
      </c>
      <c r="S7" s="4">
        <v>1560104</v>
      </c>
      <c r="T7" s="4">
        <v>1304242</v>
      </c>
      <c r="U7" s="4">
        <v>1506996</v>
      </c>
      <c r="V7" s="4">
        <v>808478</v>
      </c>
      <c r="W7" s="4">
        <v>3457895</v>
      </c>
      <c r="X7" s="4">
        <v>925848</v>
      </c>
    </row>
    <row r="8" spans="2:59" x14ac:dyDescent="0.25">
      <c r="D8" t="s">
        <v>20</v>
      </c>
      <c r="E8" t="s">
        <v>37</v>
      </c>
      <c r="F8" s="13">
        <f t="shared" si="0"/>
        <v>67314965</v>
      </c>
      <c r="G8" s="21"/>
      <c r="H8" s="13"/>
      <c r="I8" s="4">
        <v>2944307</v>
      </c>
      <c r="J8" s="4">
        <v>36158179</v>
      </c>
      <c r="K8" s="4">
        <v>2034507</v>
      </c>
      <c r="L8" s="4">
        <v>1873267</v>
      </c>
      <c r="M8" s="4">
        <v>11428387</v>
      </c>
      <c r="N8" s="4">
        <v>332039</v>
      </c>
      <c r="O8" s="4">
        <v>2228204</v>
      </c>
      <c r="P8" s="4">
        <v>6262546</v>
      </c>
      <c r="Q8" s="4">
        <v>1464223</v>
      </c>
      <c r="R8" s="4">
        <v>0</v>
      </c>
      <c r="S8" s="4">
        <v>395834</v>
      </c>
      <c r="T8" s="4">
        <v>0</v>
      </c>
      <c r="U8" s="4">
        <v>386895</v>
      </c>
      <c r="V8" s="4">
        <v>111158</v>
      </c>
      <c r="W8" s="4">
        <v>1593971</v>
      </c>
      <c r="X8" s="4">
        <v>101448</v>
      </c>
    </row>
    <row r="9" spans="2:59" x14ac:dyDescent="0.25">
      <c r="D9" t="s">
        <v>19</v>
      </c>
      <c r="E9" t="s">
        <v>37</v>
      </c>
      <c r="F9" s="13">
        <f t="shared" si="0"/>
        <v>267584894</v>
      </c>
      <c r="G9" s="21"/>
      <c r="H9" s="13"/>
      <c r="I9" s="4">
        <v>47885892</v>
      </c>
      <c r="J9" s="4">
        <v>39369311</v>
      </c>
      <c r="K9" s="4">
        <v>2531509</v>
      </c>
      <c r="L9" s="4">
        <v>15028079</v>
      </c>
      <c r="M9" s="4">
        <v>24874155</v>
      </c>
      <c r="N9" s="4">
        <v>23543727</v>
      </c>
      <c r="O9" s="4">
        <v>35169771</v>
      </c>
      <c r="P9" s="4">
        <v>11708782</v>
      </c>
      <c r="Q9" s="4">
        <v>12875600</v>
      </c>
      <c r="R9" s="4">
        <v>27689714</v>
      </c>
      <c r="S9" s="4">
        <v>8087325</v>
      </c>
      <c r="T9" s="4">
        <v>2691972</v>
      </c>
      <c r="U9" s="4">
        <v>5151325</v>
      </c>
      <c r="V9" s="4">
        <v>3671856</v>
      </c>
      <c r="W9" s="4">
        <v>5763528</v>
      </c>
      <c r="X9" s="4">
        <v>1542348</v>
      </c>
    </row>
    <row r="10" spans="2:59" x14ac:dyDescent="0.25">
      <c r="D10" t="s">
        <v>36</v>
      </c>
      <c r="E10" t="s">
        <v>37</v>
      </c>
      <c r="F10" s="13">
        <f t="shared" si="0"/>
        <v>22370511</v>
      </c>
      <c r="G10" s="21"/>
      <c r="H10" s="13"/>
      <c r="I10" s="4">
        <v>22370511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2:59" x14ac:dyDescent="0.25">
      <c r="D11" t="s">
        <v>21</v>
      </c>
      <c r="E11" t="s">
        <v>37</v>
      </c>
      <c r="F11" s="13">
        <f t="shared" si="0"/>
        <v>10430099</v>
      </c>
      <c r="G11" s="21"/>
      <c r="H11" s="13"/>
      <c r="I11" s="4">
        <v>2832934</v>
      </c>
      <c r="J11" s="4">
        <v>1915540</v>
      </c>
      <c r="K11" s="4">
        <v>22753</v>
      </c>
      <c r="L11" s="4">
        <v>0</v>
      </c>
      <c r="M11" s="4">
        <v>0</v>
      </c>
      <c r="N11" s="4">
        <v>0</v>
      </c>
      <c r="O11" s="4">
        <v>1757099</v>
      </c>
      <c r="P11" s="4">
        <v>0</v>
      </c>
      <c r="Q11" s="4">
        <v>3901773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2:59" x14ac:dyDescent="0.25">
      <c r="D12" t="s">
        <v>22</v>
      </c>
      <c r="E12" t="s">
        <v>37</v>
      </c>
      <c r="F12" s="13">
        <f t="shared" si="0"/>
        <v>13572578</v>
      </c>
      <c r="G12" s="21"/>
      <c r="H12" s="13"/>
      <c r="I12" s="4">
        <v>5896630</v>
      </c>
      <c r="J12" s="4">
        <v>0</v>
      </c>
      <c r="K12" s="4">
        <v>0</v>
      </c>
      <c r="L12" s="4">
        <v>1308294</v>
      </c>
      <c r="M12" s="4">
        <v>567767</v>
      </c>
      <c r="N12" s="4">
        <v>197817</v>
      </c>
      <c r="O12" s="4">
        <v>1567593</v>
      </c>
      <c r="P12" s="4">
        <v>75929</v>
      </c>
      <c r="Q12" s="4">
        <v>3540054</v>
      </c>
      <c r="R12" s="4">
        <v>45890</v>
      </c>
      <c r="S12" s="4">
        <v>0</v>
      </c>
      <c r="T12" s="4">
        <v>0</v>
      </c>
      <c r="U12" s="4">
        <v>0</v>
      </c>
      <c r="V12" s="4">
        <v>258917</v>
      </c>
      <c r="W12" s="4">
        <v>2341</v>
      </c>
      <c r="X12" s="4">
        <v>111346</v>
      </c>
    </row>
    <row r="13" spans="2:59" x14ac:dyDescent="0.25">
      <c r="D13" t="s">
        <v>23</v>
      </c>
      <c r="E13" t="s">
        <v>37</v>
      </c>
      <c r="F13" s="13">
        <f t="shared" si="0"/>
        <v>3123169</v>
      </c>
      <c r="G13" s="21"/>
      <c r="H13" s="13"/>
      <c r="I13" s="4">
        <v>322185</v>
      </c>
      <c r="J13" s="4">
        <v>714795</v>
      </c>
      <c r="K13" s="4">
        <v>201769</v>
      </c>
      <c r="L13" s="4">
        <v>521974</v>
      </c>
      <c r="M13" s="4">
        <v>737943</v>
      </c>
      <c r="N13" s="4">
        <v>23612</v>
      </c>
      <c r="O13" s="4">
        <v>473692</v>
      </c>
      <c r="P13" s="4">
        <v>127199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2:59" x14ac:dyDescent="0.25">
      <c r="D14" t="s">
        <v>24</v>
      </c>
      <c r="E14" t="s">
        <v>37</v>
      </c>
      <c r="F14" s="13">
        <f t="shared" si="0"/>
        <v>106197039</v>
      </c>
      <c r="G14" s="21"/>
      <c r="H14" s="13"/>
      <c r="I14" s="4">
        <v>17754962</v>
      </c>
      <c r="J14" s="4">
        <v>21446339</v>
      </c>
      <c r="K14" s="4">
        <v>4203390</v>
      </c>
      <c r="L14" s="4">
        <v>7080050</v>
      </c>
      <c r="M14" s="4">
        <v>12142861</v>
      </c>
      <c r="N14" s="4">
        <v>3306117</v>
      </c>
      <c r="O14" s="4">
        <v>9635860</v>
      </c>
      <c r="P14" s="4">
        <v>5692776</v>
      </c>
      <c r="Q14" s="4">
        <v>4267797</v>
      </c>
      <c r="R14" s="4">
        <v>6257200</v>
      </c>
      <c r="S14" s="4">
        <v>2449317</v>
      </c>
      <c r="T14" s="4">
        <v>3115516</v>
      </c>
      <c r="U14" s="4">
        <v>1847991</v>
      </c>
      <c r="V14" s="4">
        <v>1052222</v>
      </c>
      <c r="W14" s="4">
        <v>3955532</v>
      </c>
      <c r="X14" s="4">
        <v>1989109</v>
      </c>
    </row>
    <row r="15" spans="2:59" x14ac:dyDescent="0.25">
      <c r="D15" t="s">
        <v>25</v>
      </c>
      <c r="E15" t="s">
        <v>37</v>
      </c>
      <c r="F15" s="13">
        <f t="shared" si="0"/>
        <v>4302196</v>
      </c>
      <c r="G15" s="21"/>
      <c r="H15" s="13"/>
      <c r="I15" s="4">
        <v>2737</v>
      </c>
      <c r="J15" s="4">
        <v>0</v>
      </c>
      <c r="K15" s="4">
        <v>294</v>
      </c>
      <c r="L15" s="4">
        <v>188026</v>
      </c>
      <c r="M15" s="4">
        <v>88807</v>
      </c>
      <c r="N15" s="4">
        <v>969741</v>
      </c>
      <c r="O15" s="4">
        <v>1131168</v>
      </c>
      <c r="P15" s="4">
        <v>539878</v>
      </c>
      <c r="Q15" s="4">
        <v>0</v>
      </c>
      <c r="R15" s="4">
        <v>0</v>
      </c>
      <c r="S15" s="4">
        <v>37250</v>
      </c>
      <c r="T15" s="4">
        <v>0</v>
      </c>
      <c r="U15" s="4">
        <v>1313</v>
      </c>
      <c r="V15" s="4">
        <v>0</v>
      </c>
      <c r="W15" s="4">
        <v>1331180</v>
      </c>
      <c r="X15" s="4">
        <v>11802</v>
      </c>
    </row>
    <row r="16" spans="2:59" x14ac:dyDescent="0.25">
      <c r="D16" t="s">
        <v>26</v>
      </c>
      <c r="E16" t="s">
        <v>37</v>
      </c>
      <c r="F16" s="13">
        <f t="shared" si="0"/>
        <v>13607645</v>
      </c>
      <c r="G16" s="21"/>
      <c r="H16" s="13"/>
      <c r="I16" s="4">
        <v>0</v>
      </c>
      <c r="J16" s="4">
        <v>6392940</v>
      </c>
      <c r="K16" s="4">
        <v>5419729</v>
      </c>
      <c r="L16" s="4">
        <v>368574</v>
      </c>
      <c r="M16" s="4">
        <v>225189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1046893</v>
      </c>
      <c r="X16" s="4">
        <v>154320</v>
      </c>
    </row>
    <row r="17" spans="2:24" x14ac:dyDescent="0.25">
      <c r="D17" t="s">
        <v>27</v>
      </c>
      <c r="E17" t="s">
        <v>37</v>
      </c>
      <c r="F17" s="13">
        <f t="shared" si="0"/>
        <v>267258</v>
      </c>
      <c r="G17" s="21"/>
      <c r="H17" s="13"/>
      <c r="I17" s="4">
        <v>16466</v>
      </c>
      <c r="J17" s="4">
        <v>86585</v>
      </c>
      <c r="K17" s="4">
        <v>5045</v>
      </c>
      <c r="L17" s="4">
        <v>7392</v>
      </c>
      <c r="M17" s="4">
        <v>0</v>
      </c>
      <c r="N17" s="4">
        <v>167</v>
      </c>
      <c r="O17" s="4">
        <v>0</v>
      </c>
      <c r="P17" s="4">
        <v>32414</v>
      </c>
      <c r="Q17" s="4">
        <v>408</v>
      </c>
      <c r="R17" s="4">
        <v>19775</v>
      </c>
      <c r="S17" s="4">
        <v>3779</v>
      </c>
      <c r="T17" s="4">
        <v>3618</v>
      </c>
      <c r="U17" s="4">
        <v>72248</v>
      </c>
      <c r="V17" s="4">
        <v>0</v>
      </c>
      <c r="W17" s="4">
        <v>19361</v>
      </c>
      <c r="X17" s="4">
        <v>0</v>
      </c>
    </row>
    <row r="18" spans="2:24" x14ac:dyDescent="0.25">
      <c r="D18" t="s">
        <v>28</v>
      </c>
      <c r="E18" t="s">
        <v>37</v>
      </c>
      <c r="F18" s="13">
        <f t="shared" si="0"/>
        <v>14149958</v>
      </c>
      <c r="G18" s="21"/>
      <c r="H18" s="13"/>
      <c r="I18" s="4">
        <v>580232</v>
      </c>
      <c r="J18" s="4">
        <v>1085703</v>
      </c>
      <c r="K18" s="4">
        <v>37820</v>
      </c>
      <c r="L18" s="4">
        <v>1587183</v>
      </c>
      <c r="M18" s="4">
        <v>332379</v>
      </c>
      <c r="N18" s="4">
        <v>1388586</v>
      </c>
      <c r="O18" s="4">
        <v>5995220</v>
      </c>
      <c r="P18" s="4">
        <v>2191585</v>
      </c>
      <c r="Q18" s="4">
        <v>785730</v>
      </c>
      <c r="R18" s="4">
        <v>151339</v>
      </c>
      <c r="S18" s="4">
        <v>14181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2:24" x14ac:dyDescent="0.25">
      <c r="D19" t="s">
        <v>29</v>
      </c>
      <c r="E19" t="s">
        <v>37</v>
      </c>
      <c r="F19" s="13">
        <f t="shared" si="0"/>
        <v>150440318</v>
      </c>
      <c r="G19" s="21"/>
      <c r="H19" s="13"/>
      <c r="I19" s="4">
        <v>59362053</v>
      </c>
      <c r="J19" s="4">
        <v>12327416</v>
      </c>
      <c r="K19" s="4">
        <v>3414908</v>
      </c>
      <c r="L19" s="4">
        <v>4047954</v>
      </c>
      <c r="M19" s="4">
        <v>11061299</v>
      </c>
      <c r="N19" s="4">
        <v>5255703</v>
      </c>
      <c r="O19" s="4">
        <v>10008491</v>
      </c>
      <c r="P19" s="4">
        <v>9274439</v>
      </c>
      <c r="Q19" s="4">
        <v>8176318</v>
      </c>
      <c r="R19" s="4">
        <v>13279004</v>
      </c>
      <c r="S19" s="4">
        <v>224879</v>
      </c>
      <c r="T19" s="4">
        <v>7254280</v>
      </c>
      <c r="U19" s="4">
        <v>139817</v>
      </c>
      <c r="V19" s="4">
        <v>2234468</v>
      </c>
      <c r="W19" s="4">
        <v>3558748</v>
      </c>
      <c r="X19" s="4">
        <v>820541</v>
      </c>
    </row>
    <row r="20" spans="2:24" x14ac:dyDescent="0.25">
      <c r="D20" t="s">
        <v>30</v>
      </c>
      <c r="E20" t="s">
        <v>37</v>
      </c>
      <c r="F20" s="13">
        <f t="shared" si="0"/>
        <v>462</v>
      </c>
      <c r="G20" s="21"/>
      <c r="H20" s="13"/>
      <c r="I20" s="4"/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462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2:24" x14ac:dyDescent="0.25">
      <c r="D21" t="s">
        <v>31</v>
      </c>
      <c r="E21" t="s">
        <v>37</v>
      </c>
      <c r="F21" s="13">
        <f t="shared" si="0"/>
        <v>27819848</v>
      </c>
      <c r="G21" s="21"/>
      <c r="H21" s="13"/>
      <c r="I21" s="4">
        <v>2080121</v>
      </c>
      <c r="J21" s="4">
        <v>12331979</v>
      </c>
      <c r="K21" s="4">
        <v>2579733</v>
      </c>
      <c r="L21" s="4">
        <v>1465103</v>
      </c>
      <c r="M21" s="4">
        <v>3478907</v>
      </c>
      <c r="N21" s="4">
        <v>228749</v>
      </c>
      <c r="O21" s="4">
        <v>1447601</v>
      </c>
      <c r="P21" s="4">
        <v>1973384</v>
      </c>
      <c r="Q21" s="4">
        <v>729563</v>
      </c>
      <c r="R21" s="4">
        <v>34351</v>
      </c>
      <c r="S21" s="4">
        <v>51715</v>
      </c>
      <c r="T21" s="4">
        <v>136303</v>
      </c>
      <c r="U21" s="4">
        <v>94956</v>
      </c>
      <c r="V21" s="4">
        <v>466017</v>
      </c>
      <c r="W21" s="4">
        <v>530659</v>
      </c>
      <c r="X21" s="4">
        <v>190707</v>
      </c>
    </row>
    <row r="22" spans="2:24" x14ac:dyDescent="0.25">
      <c r="D22" t="s">
        <v>32</v>
      </c>
      <c r="E22" t="s">
        <v>37</v>
      </c>
      <c r="F22" s="13">
        <f t="shared" si="0"/>
        <v>655079</v>
      </c>
      <c r="G22" s="21"/>
      <c r="H22" s="13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77730</v>
      </c>
      <c r="T22" s="4">
        <v>44071</v>
      </c>
      <c r="U22" s="4">
        <v>0</v>
      </c>
      <c r="V22" s="4">
        <v>23812</v>
      </c>
      <c r="W22" s="4">
        <v>77039</v>
      </c>
      <c r="X22" s="4">
        <v>432427</v>
      </c>
    </row>
    <row r="23" spans="2:24" x14ac:dyDescent="0.25">
      <c r="D23" t="s">
        <v>33</v>
      </c>
      <c r="E23" t="s">
        <v>37</v>
      </c>
      <c r="F23" s="13">
        <f t="shared" si="0"/>
        <v>33334076</v>
      </c>
      <c r="G23" s="21"/>
      <c r="H23" s="13"/>
      <c r="I23" s="4">
        <v>4279169</v>
      </c>
      <c r="J23" s="4">
        <v>2007247</v>
      </c>
      <c r="K23" s="4">
        <v>213474</v>
      </c>
      <c r="L23" s="4">
        <v>2829401</v>
      </c>
      <c r="M23" s="4">
        <v>2178502</v>
      </c>
      <c r="N23" s="4">
        <v>2465593</v>
      </c>
      <c r="O23" s="4">
        <v>6231865</v>
      </c>
      <c r="P23" s="4">
        <v>2178926</v>
      </c>
      <c r="Q23" s="4">
        <v>1621290</v>
      </c>
      <c r="R23" s="4">
        <v>3515693</v>
      </c>
      <c r="S23" s="4">
        <v>603966</v>
      </c>
      <c r="T23" s="4">
        <v>759876</v>
      </c>
      <c r="U23" s="4">
        <v>775624</v>
      </c>
      <c r="V23" s="4">
        <v>1999190</v>
      </c>
      <c r="W23" s="4">
        <v>986922</v>
      </c>
      <c r="X23" s="4">
        <v>687338</v>
      </c>
    </row>
    <row r="24" spans="2:24" x14ac:dyDescent="0.25">
      <c r="D24" t="s">
        <v>34</v>
      </c>
      <c r="E24" t="s">
        <v>37</v>
      </c>
      <c r="F24" s="13">
        <f t="shared" si="0"/>
        <v>16175788</v>
      </c>
      <c r="G24" s="21"/>
      <c r="H24" s="13"/>
      <c r="I24" s="4">
        <v>4262024</v>
      </c>
      <c r="J24" s="4">
        <v>1695295</v>
      </c>
      <c r="K24" s="4">
        <v>409789</v>
      </c>
      <c r="L24" s="4">
        <v>840514</v>
      </c>
      <c r="M24" s="4">
        <v>1044236</v>
      </c>
      <c r="N24" s="4">
        <v>471790</v>
      </c>
      <c r="O24" s="4">
        <v>1132842</v>
      </c>
      <c r="P24" s="4">
        <v>1220222</v>
      </c>
      <c r="Q24" s="4">
        <v>577044</v>
      </c>
      <c r="R24" s="4">
        <v>1784341</v>
      </c>
      <c r="S24" s="4">
        <v>359953</v>
      </c>
      <c r="T24" s="4">
        <v>592641</v>
      </c>
      <c r="U24" s="4">
        <v>314148</v>
      </c>
      <c r="V24" s="4">
        <v>193104</v>
      </c>
      <c r="W24" s="4">
        <v>491960</v>
      </c>
      <c r="X24" s="4">
        <v>785885</v>
      </c>
    </row>
    <row r="25" spans="2:24" x14ac:dyDescent="0.25">
      <c r="B25" t="s">
        <v>51</v>
      </c>
      <c r="D25" s="1" t="s">
        <v>35</v>
      </c>
      <c r="E25" s="2" t="s">
        <v>37</v>
      </c>
      <c r="F25" s="14">
        <f>SUM(F6:F24)</f>
        <v>862214993</v>
      </c>
      <c r="G25" s="45">
        <f>H25-F25</f>
        <v>121</v>
      </c>
      <c r="H25" s="28">
        <v>862215114</v>
      </c>
      <c r="I25" s="3">
        <f>SUM(I6:I24)</f>
        <v>179755457</v>
      </c>
      <c r="J25" s="3">
        <f t="shared" ref="J25:X25" si="1">SUM(J6:J24)</f>
        <v>153494200</v>
      </c>
      <c r="K25" s="3">
        <f t="shared" si="1"/>
        <v>25684786</v>
      </c>
      <c r="L25" s="3">
        <f t="shared" si="1"/>
        <v>45967882</v>
      </c>
      <c r="M25" s="3">
        <f t="shared" si="1"/>
        <v>81204128</v>
      </c>
      <c r="N25" s="3">
        <f t="shared" si="1"/>
        <v>43824206</v>
      </c>
      <c r="O25" s="3">
        <f t="shared" si="1"/>
        <v>84434962</v>
      </c>
      <c r="P25" s="3">
        <f t="shared" si="1"/>
        <v>49042527</v>
      </c>
      <c r="Q25" s="3">
        <f t="shared" si="1"/>
        <v>40690333</v>
      </c>
      <c r="R25" s="3">
        <f t="shared" si="1"/>
        <v>61393337</v>
      </c>
      <c r="S25" s="3">
        <f t="shared" si="1"/>
        <v>21416388</v>
      </c>
      <c r="T25" s="3">
        <f t="shared" si="1"/>
        <v>15932373</v>
      </c>
      <c r="U25" s="3">
        <f t="shared" si="1"/>
        <v>10555477</v>
      </c>
      <c r="V25" s="3">
        <f t="shared" si="1"/>
        <v>10862146</v>
      </c>
      <c r="W25" s="3">
        <f t="shared" si="1"/>
        <v>30103848</v>
      </c>
      <c r="X25" s="3">
        <f t="shared" si="1"/>
        <v>7852943</v>
      </c>
    </row>
    <row r="26" spans="2:24" x14ac:dyDescent="0.25">
      <c r="F26" s="15"/>
      <c r="G26" s="22"/>
      <c r="H26" s="15"/>
    </row>
    <row r="27" spans="2:24" x14ac:dyDescent="0.25">
      <c r="D27" t="s">
        <v>38</v>
      </c>
      <c r="E27" t="s">
        <v>37</v>
      </c>
      <c r="F27" s="13">
        <f t="shared" ref="F27:F32" si="2">SUM(I27:X27)</f>
        <v>7043623</v>
      </c>
      <c r="G27" s="21"/>
      <c r="H27" s="13"/>
      <c r="I27" s="4">
        <v>1826701</v>
      </c>
      <c r="J27" s="4">
        <v>1026000</v>
      </c>
      <c r="K27" s="4">
        <v>478200</v>
      </c>
      <c r="L27" s="4">
        <v>465360</v>
      </c>
      <c r="M27" s="4">
        <v>657621</v>
      </c>
      <c r="N27" s="4">
        <v>306840</v>
      </c>
      <c r="O27" s="4">
        <v>604800</v>
      </c>
      <c r="P27" s="4">
        <v>388900</v>
      </c>
      <c r="Q27" s="4">
        <v>180301</v>
      </c>
      <c r="R27" s="4">
        <v>309500</v>
      </c>
      <c r="S27" s="4">
        <v>122000</v>
      </c>
      <c r="T27" s="4">
        <v>112400</v>
      </c>
      <c r="U27" s="4">
        <v>65900</v>
      </c>
      <c r="V27" s="4">
        <v>106200</v>
      </c>
      <c r="W27" s="4">
        <v>292500</v>
      </c>
      <c r="X27" s="4">
        <v>100400</v>
      </c>
    </row>
    <row r="28" spans="2:24" x14ac:dyDescent="0.25">
      <c r="D28" t="s">
        <v>39</v>
      </c>
      <c r="E28" t="s">
        <v>37</v>
      </c>
      <c r="F28" s="13">
        <f t="shared" si="2"/>
        <v>982165</v>
      </c>
      <c r="G28" s="21"/>
      <c r="H28" s="13"/>
      <c r="I28" s="4">
        <v>127537</v>
      </c>
      <c r="J28" s="4">
        <v>270420</v>
      </c>
      <c r="K28" s="4">
        <v>30600</v>
      </c>
      <c r="L28" s="4">
        <v>156379</v>
      </c>
      <c r="M28" s="4">
        <v>40292</v>
      </c>
      <c r="N28" s="4">
        <v>36908</v>
      </c>
      <c r="O28" s="4">
        <v>43558</v>
      </c>
      <c r="P28" s="4">
        <v>81554</v>
      </c>
      <c r="Q28" s="4">
        <v>0</v>
      </c>
      <c r="R28" s="4">
        <v>1820</v>
      </c>
      <c r="S28" s="4">
        <v>99917</v>
      </c>
      <c r="T28" s="4">
        <v>0</v>
      </c>
      <c r="U28" s="4">
        <v>6500</v>
      </c>
      <c r="V28" s="4">
        <v>0</v>
      </c>
      <c r="W28" s="4">
        <v>86680</v>
      </c>
      <c r="X28" s="4">
        <v>0</v>
      </c>
    </row>
    <row r="29" spans="2:24" x14ac:dyDescent="0.25">
      <c r="D29" t="s">
        <v>40</v>
      </c>
      <c r="E29" t="s">
        <v>37</v>
      </c>
      <c r="F29" s="13">
        <f t="shared" si="2"/>
        <v>17946295</v>
      </c>
      <c r="G29" s="21"/>
      <c r="H29" s="13"/>
      <c r="I29" s="4">
        <v>2259281</v>
      </c>
      <c r="J29" s="4">
        <v>3184638</v>
      </c>
      <c r="K29" s="4">
        <v>596684</v>
      </c>
      <c r="L29" s="4">
        <v>1561677</v>
      </c>
      <c r="M29" s="4">
        <v>1388786</v>
      </c>
      <c r="N29" s="4">
        <v>1240277</v>
      </c>
      <c r="O29" s="4">
        <v>1132523</v>
      </c>
      <c r="P29" s="4">
        <v>1553610</v>
      </c>
      <c r="Q29" s="4">
        <v>1006337</v>
      </c>
      <c r="R29" s="4">
        <v>1167145</v>
      </c>
      <c r="S29" s="4">
        <v>635331</v>
      </c>
      <c r="T29" s="4">
        <v>366810</v>
      </c>
      <c r="U29" s="4">
        <v>292552</v>
      </c>
      <c r="V29" s="4">
        <v>235457</v>
      </c>
      <c r="W29" s="4">
        <v>1097526</v>
      </c>
      <c r="X29" s="4">
        <v>227661</v>
      </c>
    </row>
    <row r="30" spans="2:24" x14ac:dyDescent="0.25">
      <c r="D30" t="s">
        <v>41</v>
      </c>
      <c r="E30" t="s">
        <v>37</v>
      </c>
      <c r="F30" s="13">
        <f t="shared" si="2"/>
        <v>3226089</v>
      </c>
      <c r="G30" s="21"/>
      <c r="H30" s="13"/>
      <c r="I30" s="4">
        <v>149131</v>
      </c>
      <c r="J30" s="4">
        <v>249251</v>
      </c>
      <c r="K30" s="4">
        <v>13521</v>
      </c>
      <c r="L30" s="4">
        <v>321981</v>
      </c>
      <c r="M30" s="4">
        <v>123537</v>
      </c>
      <c r="N30" s="4">
        <v>316273</v>
      </c>
      <c r="O30" s="4">
        <v>1268089</v>
      </c>
      <c r="P30" s="4">
        <v>595852</v>
      </c>
      <c r="Q30" s="4">
        <v>148231</v>
      </c>
      <c r="R30" s="4">
        <v>39263</v>
      </c>
      <c r="S30" s="4">
        <v>0</v>
      </c>
      <c r="T30" s="4">
        <v>0</v>
      </c>
      <c r="U30" s="4">
        <v>0</v>
      </c>
      <c r="V30" s="4">
        <v>0</v>
      </c>
      <c r="W30" s="4">
        <v>960</v>
      </c>
      <c r="X30" s="4">
        <v>0</v>
      </c>
    </row>
    <row r="31" spans="2:24" x14ac:dyDescent="0.25">
      <c r="D31" t="s">
        <v>42</v>
      </c>
      <c r="E31" t="s">
        <v>37</v>
      </c>
      <c r="F31" s="13">
        <f t="shared" si="2"/>
        <v>155250</v>
      </c>
      <c r="G31" s="21"/>
      <c r="H31" s="13"/>
      <c r="I31" s="4">
        <v>750</v>
      </c>
      <c r="J31" s="4">
        <v>10400</v>
      </c>
      <c r="K31" s="4">
        <v>0</v>
      </c>
      <c r="L31" s="4">
        <v>14000</v>
      </c>
      <c r="M31" s="4">
        <v>6000</v>
      </c>
      <c r="N31" s="4">
        <v>19200</v>
      </c>
      <c r="O31" s="4">
        <v>67700</v>
      </c>
      <c r="P31" s="4">
        <v>30800</v>
      </c>
      <c r="Q31" s="4">
        <v>5200</v>
      </c>
      <c r="R31" s="4">
        <v>800</v>
      </c>
      <c r="S31" s="4">
        <v>0</v>
      </c>
      <c r="T31" s="4">
        <v>0</v>
      </c>
      <c r="U31" s="4">
        <v>0</v>
      </c>
      <c r="V31" s="4">
        <v>0</v>
      </c>
      <c r="W31" s="4">
        <v>400</v>
      </c>
      <c r="X31" s="4">
        <v>0</v>
      </c>
    </row>
    <row r="32" spans="2:24" x14ac:dyDescent="0.25">
      <c r="D32" t="s">
        <v>43</v>
      </c>
      <c r="E32" t="s">
        <v>37</v>
      </c>
      <c r="F32" s="13">
        <f t="shared" si="2"/>
        <v>113046</v>
      </c>
      <c r="G32" s="21"/>
      <c r="H32" s="13"/>
      <c r="I32" s="4">
        <v>500</v>
      </c>
      <c r="J32" s="4">
        <v>0</v>
      </c>
      <c r="K32" s="4">
        <v>0</v>
      </c>
      <c r="L32" s="4">
        <v>21600</v>
      </c>
      <c r="M32" s="4">
        <v>1500</v>
      </c>
      <c r="N32" s="4">
        <v>11500</v>
      </c>
      <c r="O32" s="4">
        <v>42900</v>
      </c>
      <c r="P32" s="4">
        <v>14500</v>
      </c>
      <c r="Q32" s="4">
        <v>1000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19546</v>
      </c>
      <c r="X32" s="4">
        <v>0</v>
      </c>
    </row>
    <row r="33" spans="2:24" x14ac:dyDescent="0.25">
      <c r="B33" t="s">
        <v>51</v>
      </c>
      <c r="D33" s="1" t="s">
        <v>44</v>
      </c>
      <c r="E33" s="1" t="s">
        <v>37</v>
      </c>
      <c r="F33" s="14">
        <f>SUM(F27:F32)</f>
        <v>29466468</v>
      </c>
      <c r="G33" s="23"/>
      <c r="H33" s="14"/>
      <c r="I33" s="3">
        <f>SUM(I27:I32)</f>
        <v>4363900</v>
      </c>
      <c r="J33" s="3">
        <f t="shared" ref="J33:X33" si="3">SUM(J27:J32)</f>
        <v>4740709</v>
      </c>
      <c r="K33" s="3">
        <f t="shared" si="3"/>
        <v>1119005</v>
      </c>
      <c r="L33" s="3">
        <f t="shared" si="3"/>
        <v>2540997</v>
      </c>
      <c r="M33" s="3">
        <f t="shared" si="3"/>
        <v>2217736</v>
      </c>
      <c r="N33" s="3">
        <f t="shared" si="3"/>
        <v>1930998</v>
      </c>
      <c r="O33" s="3">
        <f t="shared" si="3"/>
        <v>3159570</v>
      </c>
      <c r="P33" s="3">
        <f t="shared" si="3"/>
        <v>2665216</v>
      </c>
      <c r="Q33" s="3">
        <f t="shared" si="3"/>
        <v>1341069</v>
      </c>
      <c r="R33" s="3">
        <f t="shared" si="3"/>
        <v>1518528</v>
      </c>
      <c r="S33" s="3">
        <f t="shared" si="3"/>
        <v>857248</v>
      </c>
      <c r="T33" s="3">
        <f t="shared" si="3"/>
        <v>479210</v>
      </c>
      <c r="U33" s="3">
        <f t="shared" si="3"/>
        <v>364952</v>
      </c>
      <c r="V33" s="3">
        <f t="shared" si="3"/>
        <v>341657</v>
      </c>
      <c r="W33" s="3">
        <f t="shared" si="3"/>
        <v>1497612</v>
      </c>
      <c r="X33" s="3">
        <f t="shared" si="3"/>
        <v>328061</v>
      </c>
    </row>
    <row r="34" spans="2:24" x14ac:dyDescent="0.25">
      <c r="F34" s="15"/>
      <c r="G34" s="21"/>
      <c r="H34" s="15"/>
    </row>
    <row r="35" spans="2:24" x14ac:dyDescent="0.25">
      <c r="D35" t="s">
        <v>45</v>
      </c>
      <c r="E35" t="s">
        <v>37</v>
      </c>
      <c r="F35" s="13">
        <f>SUM(I35:X35)</f>
        <v>12923306</v>
      </c>
      <c r="G35" s="21"/>
      <c r="H35" s="13"/>
      <c r="I35" s="4">
        <v>1343379</v>
      </c>
      <c r="J35" s="4">
        <v>3319156</v>
      </c>
      <c r="K35" s="4">
        <v>1539820</v>
      </c>
      <c r="L35" s="4">
        <v>790610</v>
      </c>
      <c r="M35" s="4">
        <v>504593</v>
      </c>
      <c r="N35" s="4">
        <v>1800768</v>
      </c>
      <c r="O35" s="4">
        <v>1814793</v>
      </c>
      <c r="P35" s="4">
        <v>1108086</v>
      </c>
      <c r="Q35" s="4">
        <v>405534</v>
      </c>
      <c r="R35" s="4">
        <v>296567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2:24" x14ac:dyDescent="0.25">
      <c r="D36" t="s">
        <v>46</v>
      </c>
      <c r="E36" t="s">
        <v>37</v>
      </c>
      <c r="F36" s="13">
        <f>SUM(I36:X36)</f>
        <v>458238</v>
      </c>
      <c r="G36" s="21"/>
      <c r="H36" s="13"/>
      <c r="I36" s="4">
        <v>8413</v>
      </c>
      <c r="J36" s="4">
        <v>320160</v>
      </c>
      <c r="K36" s="4">
        <v>8334</v>
      </c>
      <c r="L36" s="4">
        <v>19501</v>
      </c>
      <c r="M36" s="4">
        <v>18929</v>
      </c>
      <c r="N36" s="4">
        <v>9356</v>
      </c>
      <c r="O36" s="4">
        <v>62697</v>
      </c>
      <c r="P36" s="4">
        <v>0</v>
      </c>
      <c r="Q36" s="4">
        <v>10848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</row>
    <row r="37" spans="2:24" x14ac:dyDescent="0.25">
      <c r="D37" t="s">
        <v>81</v>
      </c>
      <c r="E37" t="s">
        <v>37</v>
      </c>
      <c r="F37" s="13">
        <f>SUM(I37:X37)</f>
        <v>10399992</v>
      </c>
      <c r="G37" s="22">
        <v>932412</v>
      </c>
      <c r="H37" s="13"/>
      <c r="I37" s="4">
        <v>0</v>
      </c>
      <c r="J37" s="4">
        <v>1299996</v>
      </c>
      <c r="K37" s="4">
        <v>0</v>
      </c>
      <c r="L37" s="4">
        <v>0</v>
      </c>
      <c r="M37" s="4">
        <v>2600004</v>
      </c>
      <c r="N37" s="4">
        <v>1299996</v>
      </c>
      <c r="O37" s="4">
        <v>1950000</v>
      </c>
      <c r="P37" s="4">
        <v>1950000</v>
      </c>
      <c r="Q37" s="4">
        <v>1299996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</row>
    <row r="38" spans="2:24" x14ac:dyDescent="0.25">
      <c r="D38" s="1" t="s">
        <v>47</v>
      </c>
      <c r="E38" s="1" t="s">
        <v>37</v>
      </c>
      <c r="F38" s="14">
        <f>SUM(F35:F37)</f>
        <v>23781536</v>
      </c>
      <c r="G38" s="24"/>
      <c r="H38" s="14">
        <f>F38+SUM(G35:G37)</f>
        <v>24713948</v>
      </c>
      <c r="I38" s="3">
        <f>SUM(I35:I37)</f>
        <v>1351792</v>
      </c>
      <c r="J38" s="3">
        <f t="shared" ref="J38:X38" si="4">SUM(J35:J37)</f>
        <v>4939312</v>
      </c>
      <c r="K38" s="3">
        <f t="shared" si="4"/>
        <v>1548154</v>
      </c>
      <c r="L38" s="3">
        <f t="shared" si="4"/>
        <v>810111</v>
      </c>
      <c r="M38" s="3">
        <f t="shared" si="4"/>
        <v>3123526</v>
      </c>
      <c r="N38" s="3">
        <f t="shared" si="4"/>
        <v>3110120</v>
      </c>
      <c r="O38" s="3">
        <f t="shared" si="4"/>
        <v>3827490</v>
      </c>
      <c r="P38" s="3">
        <f>SUM(P35:P37)</f>
        <v>3058086</v>
      </c>
      <c r="Q38" s="3">
        <f t="shared" si="4"/>
        <v>1716378</v>
      </c>
      <c r="R38" s="3">
        <f t="shared" si="4"/>
        <v>296567</v>
      </c>
      <c r="S38" s="3">
        <f t="shared" si="4"/>
        <v>0</v>
      </c>
      <c r="T38" s="3">
        <f t="shared" si="4"/>
        <v>0</v>
      </c>
      <c r="U38" s="3">
        <f t="shared" si="4"/>
        <v>0</v>
      </c>
      <c r="V38" s="3">
        <f t="shared" si="4"/>
        <v>0</v>
      </c>
      <c r="W38" s="3">
        <f t="shared" si="4"/>
        <v>0</v>
      </c>
      <c r="X38" s="3">
        <f t="shared" si="4"/>
        <v>0</v>
      </c>
    </row>
    <row r="39" spans="2:24" x14ac:dyDescent="0.25">
      <c r="F39" s="16"/>
      <c r="G39" s="21"/>
      <c r="H39" s="16"/>
    </row>
    <row r="40" spans="2:24" x14ac:dyDescent="0.25">
      <c r="D40" t="s">
        <v>48</v>
      </c>
      <c r="E40" t="s">
        <v>37</v>
      </c>
      <c r="F40" s="13">
        <f>SUM(I40:X40)</f>
        <v>80499628</v>
      </c>
      <c r="G40" s="22">
        <v>95655891</v>
      </c>
      <c r="H40" s="13"/>
      <c r="I40" s="4">
        <v>1520241</v>
      </c>
      <c r="J40" s="4">
        <v>35715659</v>
      </c>
      <c r="K40" s="4">
        <v>10036352</v>
      </c>
      <c r="L40" s="4">
        <v>0</v>
      </c>
      <c r="M40" s="4">
        <v>23382442</v>
      </c>
      <c r="N40" s="4">
        <v>0</v>
      </c>
      <c r="O40" s="4">
        <v>7312361</v>
      </c>
      <c r="P40" s="4">
        <v>0</v>
      </c>
      <c r="Q40" s="4">
        <v>0</v>
      </c>
      <c r="R40" s="4">
        <v>2532573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</row>
    <row r="41" spans="2:24" x14ac:dyDescent="0.25">
      <c r="D41" t="s">
        <v>49</v>
      </c>
      <c r="E41" t="s">
        <v>37</v>
      </c>
      <c r="F41" s="13">
        <f>SUM(I41:X41)</f>
        <v>5081574</v>
      </c>
      <c r="G41" s="22">
        <v>370939</v>
      </c>
      <c r="H41" s="13"/>
      <c r="I41" s="4">
        <v>0</v>
      </c>
      <c r="J41" s="4">
        <v>3321637</v>
      </c>
      <c r="K41" s="4">
        <v>0</v>
      </c>
      <c r="L41" s="4">
        <v>0</v>
      </c>
      <c r="M41" s="4">
        <v>1759932</v>
      </c>
      <c r="N41" s="4">
        <v>0</v>
      </c>
      <c r="O41" s="4">
        <v>5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2:24" x14ac:dyDescent="0.25">
      <c r="B42" t="s">
        <v>51</v>
      </c>
      <c r="D42" s="1" t="s">
        <v>50</v>
      </c>
      <c r="E42" s="1" t="s">
        <v>37</v>
      </c>
      <c r="F42" s="14">
        <f>SUM(F40:F41)</f>
        <v>85581202</v>
      </c>
      <c r="G42" s="24"/>
      <c r="H42" s="14">
        <f>F42+SUM(G40:G41)</f>
        <v>181608032</v>
      </c>
      <c r="I42" s="3">
        <f>SUM(I40:I41)</f>
        <v>1520241</v>
      </c>
      <c r="J42" s="3">
        <f t="shared" ref="J42:X42" si="5">SUM(J40:J41)</f>
        <v>39037296</v>
      </c>
      <c r="K42" s="3">
        <f t="shared" si="5"/>
        <v>10036352</v>
      </c>
      <c r="L42" s="3">
        <f t="shared" si="5"/>
        <v>0</v>
      </c>
      <c r="M42" s="3">
        <f t="shared" si="5"/>
        <v>25142374</v>
      </c>
      <c r="N42" s="3">
        <f t="shared" si="5"/>
        <v>0</v>
      </c>
      <c r="O42" s="3">
        <f t="shared" si="5"/>
        <v>7312366</v>
      </c>
      <c r="P42" s="3">
        <f t="shared" si="5"/>
        <v>0</v>
      </c>
      <c r="Q42" s="3">
        <f t="shared" si="5"/>
        <v>0</v>
      </c>
      <c r="R42" s="3">
        <f t="shared" si="5"/>
        <v>2532573</v>
      </c>
      <c r="S42" s="3">
        <f t="shared" si="5"/>
        <v>0</v>
      </c>
      <c r="T42" s="3">
        <f t="shared" si="5"/>
        <v>0</v>
      </c>
      <c r="U42" s="3">
        <f t="shared" si="5"/>
        <v>0</v>
      </c>
      <c r="V42" s="3">
        <f t="shared" si="5"/>
        <v>0</v>
      </c>
      <c r="W42" s="3">
        <f t="shared" si="5"/>
        <v>0</v>
      </c>
      <c r="X42" s="3">
        <f t="shared" si="5"/>
        <v>0</v>
      </c>
    </row>
    <row r="43" spans="2:24" x14ac:dyDescent="0.25">
      <c r="D43" s="18"/>
      <c r="E43" s="18"/>
      <c r="F43" s="16"/>
      <c r="G43" s="33"/>
      <c r="H43" s="16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</row>
    <row r="44" spans="2:24" x14ac:dyDescent="0.25">
      <c r="C44" s="18"/>
      <c r="D44" s="18" t="s">
        <v>86</v>
      </c>
      <c r="E44" s="18" t="s">
        <v>37</v>
      </c>
      <c r="F44" s="16">
        <f>SUM(I44:X44)</f>
        <v>109362738</v>
      </c>
      <c r="G44" s="35"/>
      <c r="H44" s="17">
        <f>H38+H42</f>
        <v>206321980</v>
      </c>
      <c r="I44" s="30">
        <f>I38+I42</f>
        <v>2872033</v>
      </c>
      <c r="J44" s="30">
        <f t="shared" ref="J44:X44" si="6">J38+J42</f>
        <v>43976608</v>
      </c>
      <c r="K44" s="30">
        <f t="shared" si="6"/>
        <v>11584506</v>
      </c>
      <c r="L44" s="30">
        <f t="shared" si="6"/>
        <v>810111</v>
      </c>
      <c r="M44" s="30">
        <f t="shared" si="6"/>
        <v>28265900</v>
      </c>
      <c r="N44" s="30">
        <f t="shared" si="6"/>
        <v>3110120</v>
      </c>
      <c r="O44" s="30">
        <f t="shared" si="6"/>
        <v>11139856</v>
      </c>
      <c r="P44" s="30">
        <f t="shared" si="6"/>
        <v>3058086</v>
      </c>
      <c r="Q44" s="30">
        <f t="shared" si="6"/>
        <v>1716378</v>
      </c>
      <c r="R44" s="30">
        <f t="shared" si="6"/>
        <v>2829140</v>
      </c>
      <c r="S44" s="30">
        <f t="shared" si="6"/>
        <v>0</v>
      </c>
      <c r="T44" s="30">
        <f t="shared" si="6"/>
        <v>0</v>
      </c>
      <c r="U44" s="30">
        <f t="shared" si="6"/>
        <v>0</v>
      </c>
      <c r="V44" s="30">
        <f t="shared" si="6"/>
        <v>0</v>
      </c>
      <c r="W44" s="30">
        <f t="shared" si="6"/>
        <v>0</v>
      </c>
      <c r="X44" s="30">
        <f t="shared" si="6"/>
        <v>0</v>
      </c>
    </row>
    <row r="45" spans="2:24" x14ac:dyDescent="0.25">
      <c r="F45" s="15"/>
      <c r="G45" s="21"/>
      <c r="H45" s="32"/>
    </row>
    <row r="46" spans="2:24" x14ac:dyDescent="0.25">
      <c r="D46" t="s">
        <v>53</v>
      </c>
      <c r="E46" t="s">
        <v>37</v>
      </c>
      <c r="F46" s="13">
        <f>SUM(I46:X46)</f>
        <v>7773364</v>
      </c>
      <c r="G46" s="21"/>
      <c r="H46" s="13"/>
      <c r="I46" s="4">
        <v>1066205</v>
      </c>
      <c r="J46" s="4">
        <v>1381009</v>
      </c>
      <c r="K46" s="4">
        <v>586700</v>
      </c>
      <c r="L46" s="4">
        <v>807860</v>
      </c>
      <c r="M46" s="4">
        <v>1596829</v>
      </c>
      <c r="N46" s="4">
        <v>206250</v>
      </c>
      <c r="O46" s="4">
        <v>955670</v>
      </c>
      <c r="P46" s="4">
        <v>601200</v>
      </c>
      <c r="Q46" s="4">
        <v>171900</v>
      </c>
      <c r="R46" s="4">
        <v>89100</v>
      </c>
      <c r="S46" s="4">
        <v>16200</v>
      </c>
      <c r="T46" s="4">
        <v>36500</v>
      </c>
      <c r="U46" s="4">
        <v>57300</v>
      </c>
      <c r="V46" s="4">
        <v>100186</v>
      </c>
      <c r="W46" s="4">
        <v>74855</v>
      </c>
      <c r="X46" s="4">
        <v>25600</v>
      </c>
    </row>
    <row r="47" spans="2:24" x14ac:dyDescent="0.25">
      <c r="D47" t="s">
        <v>54</v>
      </c>
      <c r="E47" t="s">
        <v>37</v>
      </c>
      <c r="F47" s="13">
        <f>SUM(I47:X47)</f>
        <v>25616170</v>
      </c>
      <c r="G47" s="21"/>
      <c r="H47" s="13"/>
      <c r="I47" s="4">
        <v>2418368</v>
      </c>
      <c r="J47" s="4">
        <v>4174850</v>
      </c>
      <c r="K47" s="4">
        <v>1618735</v>
      </c>
      <c r="L47" s="4">
        <v>1978192</v>
      </c>
      <c r="M47" s="4">
        <v>3679478</v>
      </c>
      <c r="N47" s="4">
        <v>1173449</v>
      </c>
      <c r="O47" s="4">
        <v>1833247</v>
      </c>
      <c r="P47" s="4">
        <v>2490960</v>
      </c>
      <c r="Q47" s="4">
        <v>806738</v>
      </c>
      <c r="R47" s="4">
        <v>904642</v>
      </c>
      <c r="S47" s="4">
        <v>935583</v>
      </c>
      <c r="T47" s="4">
        <v>289421</v>
      </c>
      <c r="U47" s="4">
        <v>688189</v>
      </c>
      <c r="V47" s="4">
        <v>543603</v>
      </c>
      <c r="W47" s="4">
        <v>1636584</v>
      </c>
      <c r="X47" s="4">
        <v>444131</v>
      </c>
    </row>
    <row r="48" spans="2:24" x14ac:dyDescent="0.25">
      <c r="D48" t="s">
        <v>56</v>
      </c>
      <c r="E48" t="s">
        <v>37</v>
      </c>
      <c r="F48" s="13">
        <f>SUM(I48:X48)</f>
        <v>17052437</v>
      </c>
      <c r="G48" s="21"/>
      <c r="H48" s="13"/>
      <c r="I48" s="4">
        <v>1560102</v>
      </c>
      <c r="J48" s="4">
        <v>1926318</v>
      </c>
      <c r="K48" s="4">
        <v>525833</v>
      </c>
      <c r="L48" s="4">
        <v>1148015</v>
      </c>
      <c r="M48" s="4">
        <v>1883002</v>
      </c>
      <c r="N48" s="4">
        <v>818311</v>
      </c>
      <c r="O48" s="4">
        <v>1766903</v>
      </c>
      <c r="P48" s="4">
        <v>1763913</v>
      </c>
      <c r="Q48" s="4">
        <v>795352</v>
      </c>
      <c r="R48" s="4">
        <v>1743682</v>
      </c>
      <c r="S48" s="4">
        <v>466878</v>
      </c>
      <c r="T48" s="4">
        <v>595525</v>
      </c>
      <c r="U48" s="4">
        <v>520622</v>
      </c>
      <c r="V48" s="4">
        <v>271543</v>
      </c>
      <c r="W48" s="4">
        <v>742377</v>
      </c>
      <c r="X48" s="4">
        <v>524061</v>
      </c>
    </row>
    <row r="49" spans="4:24" x14ac:dyDescent="0.25">
      <c r="D49" t="s">
        <v>55</v>
      </c>
      <c r="E49" t="s">
        <v>37</v>
      </c>
      <c r="F49" s="13">
        <f>SUM(I49:X49)</f>
        <v>14326729</v>
      </c>
      <c r="G49" s="21"/>
      <c r="H49" s="13"/>
      <c r="I49" s="4">
        <v>906960</v>
      </c>
      <c r="J49" s="4">
        <v>3471664</v>
      </c>
      <c r="K49" s="4">
        <v>736169</v>
      </c>
      <c r="L49" s="4">
        <v>1170404</v>
      </c>
      <c r="M49" s="4">
        <v>2773466</v>
      </c>
      <c r="N49" s="4">
        <v>581788</v>
      </c>
      <c r="O49" s="4">
        <v>1478325</v>
      </c>
      <c r="P49" s="4">
        <v>1445645</v>
      </c>
      <c r="Q49" s="4">
        <v>455554</v>
      </c>
      <c r="R49" s="4">
        <v>438735</v>
      </c>
      <c r="S49" s="4">
        <v>118656</v>
      </c>
      <c r="T49" s="4">
        <v>134879</v>
      </c>
      <c r="U49" s="4">
        <v>190364</v>
      </c>
      <c r="V49" s="4">
        <v>175691</v>
      </c>
      <c r="W49" s="4">
        <v>141923</v>
      </c>
      <c r="X49" s="4">
        <v>106506</v>
      </c>
    </row>
    <row r="50" spans="4:24" x14ac:dyDescent="0.25">
      <c r="D50" t="s">
        <v>52</v>
      </c>
      <c r="E50" t="s">
        <v>37</v>
      </c>
      <c r="F50" s="13">
        <f>SUM(I50:X50)</f>
        <v>25711184</v>
      </c>
      <c r="G50" s="22">
        <f>12834183+44037006+28344</f>
        <v>56899533</v>
      </c>
      <c r="H50" s="13"/>
      <c r="I50" s="5">
        <f>7995760-SUM(I46:I49)</f>
        <v>2044125</v>
      </c>
      <c r="J50" s="5">
        <f>16849136-SUM(J46:J49)</f>
        <v>5895295</v>
      </c>
      <c r="K50" s="5">
        <f>5392603-SUM(K46:K49)</f>
        <v>1925166</v>
      </c>
      <c r="L50" s="5">
        <f>6712854-SUM(L46:L49)</f>
        <v>1608383</v>
      </c>
      <c r="M50" s="5">
        <f>13650464-SUM(M46:M49)</f>
        <v>3717689</v>
      </c>
      <c r="N50" s="5">
        <f>3318921-SUM(N46:N49)</f>
        <v>539123</v>
      </c>
      <c r="O50" s="5">
        <f>8137135-SUM(O46:O49)</f>
        <v>2102990</v>
      </c>
      <c r="P50" s="5">
        <f>8521633-SUM(P46:P49)</f>
        <v>2219915</v>
      </c>
      <c r="Q50" s="5">
        <f>2932118-SUM(Q46:Q49)</f>
        <v>702574</v>
      </c>
      <c r="R50" s="5">
        <f>3944202-SUM(R46:R49)</f>
        <v>768043</v>
      </c>
      <c r="S50" s="5">
        <f>2653462-SUM(S46:S49)</f>
        <v>1116145</v>
      </c>
      <c r="T50" s="5">
        <f>1563915-SUM(T46:T49)</f>
        <v>507590</v>
      </c>
      <c r="U50" s="5">
        <f>1983367-SUM(U46:U49)</f>
        <v>526892</v>
      </c>
      <c r="V50" s="5">
        <f>1393672-SUM(V46:V49)</f>
        <v>302649</v>
      </c>
      <c r="W50" s="5">
        <f>3911967-SUM(W46:W49)</f>
        <v>1316228</v>
      </c>
      <c r="X50" s="5">
        <f>1518675-SUM(X46:X49)</f>
        <v>418377</v>
      </c>
    </row>
    <row r="51" spans="4:24" x14ac:dyDescent="0.25">
      <c r="D51" s="1" t="s">
        <v>57</v>
      </c>
      <c r="E51" s="1" t="s">
        <v>37</v>
      </c>
      <c r="F51" s="14">
        <f>SUM(F46:F50)</f>
        <v>90479884</v>
      </c>
      <c r="G51" s="23"/>
      <c r="H51" s="14">
        <f>F51+SUM(G46:G50)</f>
        <v>147379417</v>
      </c>
      <c r="I51" s="3">
        <f>SUM(I46:I50)</f>
        <v>7995760</v>
      </c>
      <c r="J51" s="3">
        <f t="shared" ref="J51:X51" si="7">SUM(J46:J50)</f>
        <v>16849136</v>
      </c>
      <c r="K51" s="3">
        <f t="shared" si="7"/>
        <v>5392603</v>
      </c>
      <c r="L51" s="3">
        <f t="shared" si="7"/>
        <v>6712854</v>
      </c>
      <c r="M51" s="3">
        <f t="shared" si="7"/>
        <v>13650464</v>
      </c>
      <c r="N51" s="3">
        <f t="shared" si="7"/>
        <v>3318921</v>
      </c>
      <c r="O51" s="3">
        <f t="shared" si="7"/>
        <v>8137135</v>
      </c>
      <c r="P51" s="3">
        <f t="shared" si="7"/>
        <v>8521633</v>
      </c>
      <c r="Q51" s="3">
        <f t="shared" si="7"/>
        <v>2932118</v>
      </c>
      <c r="R51" s="3">
        <f t="shared" si="7"/>
        <v>3944202</v>
      </c>
      <c r="S51" s="3">
        <f t="shared" si="7"/>
        <v>2653462</v>
      </c>
      <c r="T51" s="3">
        <f t="shared" si="7"/>
        <v>1563915</v>
      </c>
      <c r="U51" s="3">
        <f t="shared" si="7"/>
        <v>1983367</v>
      </c>
      <c r="V51" s="3">
        <f t="shared" si="7"/>
        <v>1393672</v>
      </c>
      <c r="W51" s="3">
        <f t="shared" si="7"/>
        <v>3911967</v>
      </c>
      <c r="X51" s="3">
        <f t="shared" si="7"/>
        <v>1518675</v>
      </c>
    </row>
    <row r="52" spans="4:24" x14ac:dyDescent="0.25">
      <c r="D52" s="18"/>
      <c r="E52" s="18"/>
      <c r="F52" s="16"/>
      <c r="G52" s="21"/>
      <c r="H52" s="16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4:24" x14ac:dyDescent="0.25">
      <c r="D53" s="18" t="s">
        <v>85</v>
      </c>
      <c r="E53" s="18" t="s">
        <v>37</v>
      </c>
      <c r="F53" s="16">
        <v>0</v>
      </c>
      <c r="G53" s="22">
        <f>1249616+232429342</f>
        <v>233678958</v>
      </c>
      <c r="H53" s="16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4:24" ht="15.75" thickBot="1" x14ac:dyDescent="0.3">
      <c r="F54" s="15"/>
      <c r="G54" s="21"/>
      <c r="H54" s="15"/>
    </row>
    <row r="55" spans="4:24" ht="15.75" thickBot="1" x14ac:dyDescent="0.3">
      <c r="D55" s="6" t="s">
        <v>58</v>
      </c>
      <c r="E55" s="7" t="s">
        <v>37</v>
      </c>
      <c r="F55" s="25">
        <f>F25+F33+F38+F42+F51+F53</f>
        <v>1091524083</v>
      </c>
      <c r="G55" s="29">
        <f>SUM(G6:G53)</f>
        <v>387537854</v>
      </c>
      <c r="H55" s="25">
        <f>F55+G55</f>
        <v>1479061937</v>
      </c>
      <c r="I55" s="8">
        <f t="shared" ref="I55:X55" si="8">I25+I33+I38+I42+I51</f>
        <v>194987150</v>
      </c>
      <c r="J55" s="8">
        <f t="shared" si="8"/>
        <v>219060653</v>
      </c>
      <c r="K55" s="8">
        <f t="shared" si="8"/>
        <v>43780900</v>
      </c>
      <c r="L55" s="8">
        <f t="shared" si="8"/>
        <v>56031844</v>
      </c>
      <c r="M55" s="8">
        <f t="shared" si="8"/>
        <v>125338228</v>
      </c>
      <c r="N55" s="8">
        <f t="shared" si="8"/>
        <v>52184245</v>
      </c>
      <c r="O55" s="8">
        <f t="shared" si="8"/>
        <v>106871523</v>
      </c>
      <c r="P55" s="8">
        <f t="shared" si="8"/>
        <v>63287462</v>
      </c>
      <c r="Q55" s="8">
        <f t="shared" si="8"/>
        <v>46679898</v>
      </c>
      <c r="R55" s="8">
        <f t="shared" si="8"/>
        <v>69685207</v>
      </c>
      <c r="S55" s="8">
        <f t="shared" si="8"/>
        <v>24927098</v>
      </c>
      <c r="T55" s="8">
        <f t="shared" si="8"/>
        <v>17975498</v>
      </c>
      <c r="U55" s="8">
        <f t="shared" si="8"/>
        <v>12903796</v>
      </c>
      <c r="V55" s="8">
        <f t="shared" si="8"/>
        <v>12597475</v>
      </c>
      <c r="W55" s="8">
        <f t="shared" si="8"/>
        <v>35513427</v>
      </c>
      <c r="X55" s="26">
        <f t="shared" si="8"/>
        <v>9699679</v>
      </c>
    </row>
    <row r="56" spans="4:24" x14ac:dyDescent="0.25">
      <c r="F56" s="15"/>
      <c r="G56" s="21"/>
      <c r="H56" s="15"/>
    </row>
    <row r="57" spans="4:24" x14ac:dyDescent="0.25">
      <c r="D57" t="s">
        <v>59</v>
      </c>
      <c r="E57" t="s">
        <v>37</v>
      </c>
      <c r="F57" s="13">
        <f>SUM(I57:X57)</f>
        <v>-194768850</v>
      </c>
      <c r="G57" s="21"/>
      <c r="H57" s="13"/>
      <c r="I57" s="4">
        <v>-33648430</v>
      </c>
      <c r="J57" s="4">
        <v>-23367599</v>
      </c>
      <c r="K57" s="4">
        <v>-4955972</v>
      </c>
      <c r="L57" s="4">
        <v>-14022858</v>
      </c>
      <c r="M57" s="4">
        <v>-27661694</v>
      </c>
      <c r="N57" s="4">
        <v>-8128183</v>
      </c>
      <c r="O57" s="4">
        <v>-20806895</v>
      </c>
      <c r="P57" s="4">
        <v>-22190926</v>
      </c>
      <c r="Q57" s="4">
        <v>-12317046</v>
      </c>
      <c r="R57" s="4">
        <v>-12429948</v>
      </c>
      <c r="S57" s="4">
        <v>-706969</v>
      </c>
      <c r="T57" s="4">
        <v>-5031036</v>
      </c>
      <c r="U57" s="4">
        <v>-2036704</v>
      </c>
      <c r="V57" s="4">
        <v>-2791330</v>
      </c>
      <c r="W57" s="4">
        <v>-3371011</v>
      </c>
      <c r="X57" s="4">
        <v>-1302249</v>
      </c>
    </row>
    <row r="58" spans="4:24" x14ac:dyDescent="0.25">
      <c r="D58" t="s">
        <v>60</v>
      </c>
      <c r="E58" t="s">
        <v>37</v>
      </c>
      <c r="F58" s="13">
        <f>SUM(I58:X58)</f>
        <v>-10650246</v>
      </c>
      <c r="G58" s="21"/>
      <c r="H58" s="13"/>
      <c r="I58" s="4">
        <v>-1004831</v>
      </c>
      <c r="J58" s="4">
        <v>-330459</v>
      </c>
      <c r="K58" s="4">
        <v>-241483</v>
      </c>
      <c r="L58" s="4">
        <v>-164089</v>
      </c>
      <c r="M58" s="4">
        <v>-6069629</v>
      </c>
      <c r="N58" s="4">
        <v>-1225711</v>
      </c>
      <c r="O58" s="4">
        <v>-562186</v>
      </c>
      <c r="P58" s="4">
        <v>-573312</v>
      </c>
      <c r="Q58" s="4">
        <v>-145306</v>
      </c>
      <c r="R58" s="4">
        <v>0</v>
      </c>
      <c r="S58" s="4">
        <v>0</v>
      </c>
      <c r="T58" s="4">
        <v>-295472</v>
      </c>
      <c r="U58" s="4">
        <v>0</v>
      </c>
      <c r="V58" s="4">
        <v>-36664</v>
      </c>
      <c r="W58" s="4">
        <v>0</v>
      </c>
      <c r="X58" s="4">
        <v>-1104</v>
      </c>
    </row>
    <row r="59" spans="4:24" x14ac:dyDescent="0.25">
      <c r="D59" t="s">
        <v>61</v>
      </c>
      <c r="E59" t="s">
        <v>37</v>
      </c>
      <c r="F59" s="13">
        <f>SUM(I59:X59)</f>
        <v>-2650123</v>
      </c>
      <c r="G59" s="21"/>
      <c r="H59" s="13"/>
      <c r="I59" s="4">
        <v>-2381215</v>
      </c>
      <c r="J59" s="4">
        <v>-6457</v>
      </c>
      <c r="K59" s="4">
        <v>0</v>
      </c>
      <c r="L59" s="4">
        <v>0</v>
      </c>
      <c r="M59" s="4">
        <v>-262451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</row>
    <row r="60" spans="4:24" x14ac:dyDescent="0.25">
      <c r="D60" s="1" t="s">
        <v>62</v>
      </c>
      <c r="E60" s="2" t="s">
        <v>37</v>
      </c>
      <c r="F60" s="14">
        <f>SUM(F57:F59)</f>
        <v>-208069219</v>
      </c>
      <c r="G60" s="23"/>
      <c r="H60" s="14"/>
      <c r="I60" s="3">
        <f>SUM(I57:I59)</f>
        <v>-37034476</v>
      </c>
      <c r="J60" s="3">
        <f t="shared" ref="J60:X60" si="9">SUM(J57:J59)</f>
        <v>-23704515</v>
      </c>
      <c r="K60" s="3">
        <f t="shared" si="9"/>
        <v>-5197455</v>
      </c>
      <c r="L60" s="3">
        <f t="shared" si="9"/>
        <v>-14186947</v>
      </c>
      <c r="M60" s="3">
        <f t="shared" si="9"/>
        <v>-33993774</v>
      </c>
      <c r="N60" s="3">
        <f t="shared" si="9"/>
        <v>-9353894</v>
      </c>
      <c r="O60" s="3">
        <f t="shared" si="9"/>
        <v>-21369081</v>
      </c>
      <c r="P60" s="3">
        <f t="shared" si="9"/>
        <v>-22764238</v>
      </c>
      <c r="Q60" s="3">
        <f t="shared" si="9"/>
        <v>-12462352</v>
      </c>
      <c r="R60" s="3">
        <f t="shared" si="9"/>
        <v>-12429948</v>
      </c>
      <c r="S60" s="3">
        <f t="shared" si="9"/>
        <v>-706969</v>
      </c>
      <c r="T60" s="3">
        <f t="shared" si="9"/>
        <v>-5326508</v>
      </c>
      <c r="U60" s="3">
        <f t="shared" si="9"/>
        <v>-2036704</v>
      </c>
      <c r="V60" s="3">
        <f t="shared" si="9"/>
        <v>-2827994</v>
      </c>
      <c r="W60" s="3">
        <f t="shared" si="9"/>
        <v>-3371011</v>
      </c>
      <c r="X60" s="3">
        <f t="shared" si="9"/>
        <v>-1303353</v>
      </c>
    </row>
    <row r="61" spans="4:24" x14ac:dyDescent="0.25">
      <c r="F61" s="15"/>
      <c r="G61" s="21"/>
      <c r="H61" s="15"/>
    </row>
    <row r="62" spans="4:24" x14ac:dyDescent="0.25">
      <c r="D62" t="s">
        <v>63</v>
      </c>
      <c r="E62" t="s">
        <v>37</v>
      </c>
      <c r="F62" s="13">
        <f>SUM(I62:X62)</f>
        <v>-10966219</v>
      </c>
      <c r="G62" s="21"/>
      <c r="H62" s="13"/>
      <c r="I62" s="4">
        <v>-1003766</v>
      </c>
      <c r="J62" s="4">
        <v>-778998</v>
      </c>
      <c r="K62" s="4">
        <v>-245685</v>
      </c>
      <c r="L62" s="4">
        <v>-759332</v>
      </c>
      <c r="M62" s="4">
        <v>-939750</v>
      </c>
      <c r="N62" s="4">
        <v>-764353</v>
      </c>
      <c r="O62" s="4">
        <v>-1146814</v>
      </c>
      <c r="P62" s="4">
        <v>-1184443</v>
      </c>
      <c r="Q62" s="4">
        <v>-731231</v>
      </c>
      <c r="R62" s="4">
        <v>-987780</v>
      </c>
      <c r="S62" s="4">
        <v>-415480</v>
      </c>
      <c r="T62" s="4">
        <v>-385482</v>
      </c>
      <c r="U62" s="4">
        <v>-459435</v>
      </c>
      <c r="V62" s="4">
        <v>-331813</v>
      </c>
      <c r="W62" s="4">
        <v>-509345</v>
      </c>
      <c r="X62" s="4">
        <v>-322512</v>
      </c>
    </row>
    <row r="63" spans="4:24" x14ac:dyDescent="0.25">
      <c r="D63" t="s">
        <v>64</v>
      </c>
      <c r="E63" t="s">
        <v>37</v>
      </c>
      <c r="F63" s="13">
        <f>SUM(I63:X63)</f>
        <v>-21178647</v>
      </c>
      <c r="G63" s="21"/>
      <c r="H63" s="13"/>
      <c r="I63" s="4">
        <v>0</v>
      </c>
      <c r="J63" s="4">
        <v>-7294511</v>
      </c>
      <c r="K63" s="4">
        <v>-13884136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</row>
    <row r="64" spans="4:24" x14ac:dyDescent="0.25">
      <c r="D64" t="s">
        <v>67</v>
      </c>
      <c r="E64" t="s">
        <v>37</v>
      </c>
      <c r="F64" s="13">
        <f>SUM(I64:X64)</f>
        <v>-24809401</v>
      </c>
      <c r="G64" s="21"/>
      <c r="H64" s="13"/>
      <c r="I64" s="4">
        <v>-3267903</v>
      </c>
      <c r="J64" s="4">
        <v>-1442686</v>
      </c>
      <c r="K64" s="4">
        <v>-151990</v>
      </c>
      <c r="L64" s="4">
        <v>-2298113</v>
      </c>
      <c r="M64" s="4">
        <v>-1561783</v>
      </c>
      <c r="N64" s="4">
        <v>-1834200</v>
      </c>
      <c r="O64" s="4">
        <v>-4530458</v>
      </c>
      <c r="P64" s="4">
        <v>-2048870</v>
      </c>
      <c r="Q64" s="4">
        <v>-1195368</v>
      </c>
      <c r="R64" s="4">
        <v>-2373983</v>
      </c>
      <c r="S64" s="4">
        <v>-432332</v>
      </c>
      <c r="T64" s="4">
        <v>-463260</v>
      </c>
      <c r="U64" s="4">
        <v>-521962</v>
      </c>
      <c r="V64" s="4">
        <v>-1529338</v>
      </c>
      <c r="W64" s="4">
        <v>-678339</v>
      </c>
      <c r="X64" s="4">
        <v>-478816</v>
      </c>
    </row>
    <row r="65" spans="4:24" x14ac:dyDescent="0.25">
      <c r="D65" t="s">
        <v>65</v>
      </c>
      <c r="E65" t="s">
        <v>37</v>
      </c>
      <c r="F65" s="13">
        <f>SUM(I65:X65)</f>
        <v>-875964</v>
      </c>
      <c r="G65" s="22">
        <f>-13718475</f>
        <v>-13718475</v>
      </c>
      <c r="H65" s="13"/>
      <c r="I65" s="4">
        <v>2677</v>
      </c>
      <c r="J65" s="4">
        <v>-146397</v>
      </c>
      <c r="K65" s="4">
        <v>-26932</v>
      </c>
      <c r="L65" s="4">
        <v>-94496</v>
      </c>
      <c r="M65" s="4">
        <v>-277654</v>
      </c>
      <c r="N65" s="4">
        <v>-688</v>
      </c>
      <c r="O65" s="4">
        <v>-138046</v>
      </c>
      <c r="P65" s="4">
        <v>-2306</v>
      </c>
      <c r="Q65" s="4">
        <v>-10433</v>
      </c>
      <c r="R65" s="4">
        <v>-15451</v>
      </c>
      <c r="S65" s="4">
        <v>-160522</v>
      </c>
      <c r="T65" s="4">
        <f>963-5003</f>
        <v>-4040</v>
      </c>
      <c r="U65" s="4">
        <v>17618</v>
      </c>
      <c r="V65" s="4">
        <v>-2148</v>
      </c>
      <c r="W65" s="4">
        <v>-8520</v>
      </c>
      <c r="X65" s="4">
        <v>-8626</v>
      </c>
    </row>
    <row r="66" spans="4:24" x14ac:dyDescent="0.25">
      <c r="D66" s="1" t="s">
        <v>66</v>
      </c>
      <c r="E66" s="1" t="s">
        <v>37</v>
      </c>
      <c r="F66" s="14">
        <f>SUM(F62:F65)</f>
        <v>-57830231</v>
      </c>
      <c r="G66" s="23"/>
      <c r="H66" s="14">
        <f>F66+SUM(G62:G65)</f>
        <v>-71548706</v>
      </c>
      <c r="I66" s="3">
        <f t="shared" ref="I66:X66" si="10">SUM(I62:I65)</f>
        <v>-4268992</v>
      </c>
      <c r="J66" s="3">
        <f t="shared" si="10"/>
        <v>-9662592</v>
      </c>
      <c r="K66" s="3">
        <f t="shared" si="10"/>
        <v>-14308743</v>
      </c>
      <c r="L66" s="3">
        <f t="shared" si="10"/>
        <v>-3151941</v>
      </c>
      <c r="M66" s="3">
        <f t="shared" si="10"/>
        <v>-2779187</v>
      </c>
      <c r="N66" s="3">
        <f t="shared" si="10"/>
        <v>-2599241</v>
      </c>
      <c r="O66" s="3">
        <f t="shared" si="10"/>
        <v>-5815318</v>
      </c>
      <c r="P66" s="3">
        <f t="shared" si="10"/>
        <v>-3235619</v>
      </c>
      <c r="Q66" s="3">
        <f t="shared" si="10"/>
        <v>-1937032</v>
      </c>
      <c r="R66" s="3">
        <f t="shared" si="10"/>
        <v>-3377214</v>
      </c>
      <c r="S66" s="3">
        <f t="shared" si="10"/>
        <v>-1008334</v>
      </c>
      <c r="T66" s="3">
        <f t="shared" si="10"/>
        <v>-852782</v>
      </c>
      <c r="U66" s="3">
        <f t="shared" si="10"/>
        <v>-963779</v>
      </c>
      <c r="V66" s="3">
        <f t="shared" si="10"/>
        <v>-1863299</v>
      </c>
      <c r="W66" s="3">
        <f t="shared" si="10"/>
        <v>-1196204</v>
      </c>
      <c r="X66" s="3">
        <f t="shared" si="10"/>
        <v>-809954</v>
      </c>
    </row>
    <row r="67" spans="4:24" x14ac:dyDescent="0.25">
      <c r="F67" s="15"/>
      <c r="G67" s="21"/>
      <c r="H67" s="15"/>
    </row>
    <row r="68" spans="4:24" x14ac:dyDescent="0.25">
      <c r="D68" t="s">
        <v>65</v>
      </c>
      <c r="E68" t="s">
        <v>37</v>
      </c>
      <c r="F68" s="13">
        <f>SUM(I68:X68)</f>
        <v>-765718</v>
      </c>
      <c r="G68" s="21"/>
      <c r="H68" s="13"/>
      <c r="I68" s="4">
        <v>-1710</v>
      </c>
      <c r="J68" s="4">
        <v>-72150</v>
      </c>
      <c r="K68" s="4">
        <v>0</v>
      </c>
      <c r="L68" s="4">
        <v>0</v>
      </c>
      <c r="M68" s="4">
        <v>0</v>
      </c>
      <c r="N68" s="4">
        <v>0</v>
      </c>
      <c r="O68" s="4">
        <v>-475580</v>
      </c>
      <c r="P68" s="4">
        <v>-1500</v>
      </c>
      <c r="Q68" s="4">
        <v>0</v>
      </c>
      <c r="R68" s="4">
        <v>-208778</v>
      </c>
      <c r="S68" s="4">
        <v>-4000</v>
      </c>
      <c r="T68" s="4">
        <v>0</v>
      </c>
      <c r="U68" s="4">
        <v>-2000</v>
      </c>
      <c r="V68" s="4">
        <v>0</v>
      </c>
      <c r="W68" s="4">
        <v>0</v>
      </c>
      <c r="X68" s="4">
        <v>0</v>
      </c>
    </row>
    <row r="69" spans="4:24" x14ac:dyDescent="0.25">
      <c r="F69" s="15"/>
      <c r="G69" s="21"/>
      <c r="H69" s="15"/>
    </row>
    <row r="70" spans="4:24" x14ac:dyDescent="0.25">
      <c r="D70" t="s">
        <v>68</v>
      </c>
      <c r="E70" t="s">
        <v>37</v>
      </c>
      <c r="F70" s="13">
        <f>SUM(I70:X70)</f>
        <v>-54165271</v>
      </c>
      <c r="G70" s="22">
        <f>-(5217191+3002803)</f>
        <v>-8219994</v>
      </c>
      <c r="H70" s="13">
        <f>F70+G70</f>
        <v>-62385265</v>
      </c>
      <c r="I70" s="4">
        <v>-9306992</v>
      </c>
      <c r="J70" s="4">
        <v>-1376133</v>
      </c>
      <c r="K70" s="4">
        <v>-8926505</v>
      </c>
      <c r="L70" s="4">
        <v>-4320139</v>
      </c>
      <c r="M70" s="4">
        <v>-5193101</v>
      </c>
      <c r="N70" s="4">
        <v>-1801070</v>
      </c>
      <c r="O70" s="4">
        <v>-402807</v>
      </c>
      <c r="P70" s="4">
        <v>1804419</v>
      </c>
      <c r="Q70" s="4">
        <v>-21349660</v>
      </c>
      <c r="R70" s="4">
        <v>661467</v>
      </c>
      <c r="S70" s="4">
        <v>2341477</v>
      </c>
      <c r="T70" s="4">
        <v>-578459</v>
      </c>
      <c r="U70" s="4">
        <v>-4427575</v>
      </c>
      <c r="V70" s="4">
        <v>-1246911</v>
      </c>
      <c r="W70" s="4">
        <v>523732</v>
      </c>
      <c r="X70" s="4">
        <v>-567014</v>
      </c>
    </row>
    <row r="71" spans="4:24" x14ac:dyDescent="0.25">
      <c r="F71" s="15"/>
      <c r="G71" s="21"/>
      <c r="H71" s="15"/>
    </row>
    <row r="72" spans="4:24" x14ac:dyDescent="0.25">
      <c r="D72" t="s">
        <v>69</v>
      </c>
      <c r="E72" t="s">
        <v>37</v>
      </c>
      <c r="F72" s="13">
        <f>SUM(I72:X72)</f>
        <v>-99004652</v>
      </c>
      <c r="G72" s="21"/>
      <c r="H72" s="13"/>
      <c r="I72" s="4">
        <v>-7311965</v>
      </c>
      <c r="J72" s="4">
        <v>-9459269</v>
      </c>
      <c r="K72" s="4">
        <v>-5640867</v>
      </c>
      <c r="L72" s="4">
        <v>-7727244</v>
      </c>
      <c r="M72" s="4">
        <v>-13107328</v>
      </c>
      <c r="N72" s="4">
        <v>-6270802</v>
      </c>
      <c r="O72" s="4">
        <v>-10416504</v>
      </c>
      <c r="P72" s="4">
        <v>-7185464</v>
      </c>
      <c r="Q72" s="4">
        <v>-5873101</v>
      </c>
      <c r="R72" s="4">
        <v>-5940236</v>
      </c>
      <c r="S72" s="4">
        <v>-3955291</v>
      </c>
      <c r="T72" s="4">
        <v>-3344053</v>
      </c>
      <c r="U72" s="4">
        <v>-3360082</v>
      </c>
      <c r="V72" s="4">
        <v>-3069839</v>
      </c>
      <c r="W72" s="4">
        <v>-3935531</v>
      </c>
      <c r="X72" s="4">
        <v>-2407076</v>
      </c>
    </row>
    <row r="73" spans="4:24" x14ac:dyDescent="0.25">
      <c r="D73" t="s">
        <v>70</v>
      </c>
      <c r="E73" t="s">
        <v>37</v>
      </c>
      <c r="F73" s="13">
        <f>SUM(I73:X73)</f>
        <v>-23173335</v>
      </c>
      <c r="G73" s="21"/>
      <c r="H73" s="13"/>
      <c r="I73" s="4">
        <v>-1702861</v>
      </c>
      <c r="J73" s="4">
        <v>-2231848</v>
      </c>
      <c r="K73" s="4">
        <v>-1345843</v>
      </c>
      <c r="L73" s="4">
        <v>-1807628</v>
      </c>
      <c r="M73" s="4">
        <v>-3147262</v>
      </c>
      <c r="N73" s="4">
        <v>-1492942</v>
      </c>
      <c r="O73" s="4">
        <v>-2561669</v>
      </c>
      <c r="P73" s="4">
        <v>-1726188</v>
      </c>
      <c r="Q73" s="4">
        <v>-1334628</v>
      </c>
      <c r="R73" s="4">
        <v>-1345285</v>
      </c>
      <c r="S73" s="4">
        <v>-859239</v>
      </c>
      <c r="T73" s="4">
        <v>-739547</v>
      </c>
      <c r="U73" s="4">
        <v>-729875</v>
      </c>
      <c r="V73" s="4">
        <v>-740803</v>
      </c>
      <c r="W73" s="4">
        <v>-869113</v>
      </c>
      <c r="X73" s="4">
        <v>-538604</v>
      </c>
    </row>
    <row r="74" spans="4:24" x14ac:dyDescent="0.25">
      <c r="D74" t="s">
        <v>71</v>
      </c>
      <c r="E74" t="s">
        <v>37</v>
      </c>
      <c r="F74" s="13">
        <f>SUM(I74:X74)</f>
        <v>-54734958</v>
      </c>
      <c r="G74" s="21"/>
      <c r="H74" s="13"/>
      <c r="I74" s="5">
        <f>-13781864-SUM(I72:I73)</f>
        <v>-4767038</v>
      </c>
      <c r="J74" s="5">
        <f>-16385063-SUM(J72:J73)</f>
        <v>-4693946</v>
      </c>
      <c r="K74" s="5">
        <f>-9793085-SUM(K72:K73)</f>
        <v>-2806375</v>
      </c>
      <c r="L74" s="5">
        <f>-13621346-SUM(L72:L73)</f>
        <v>-4086474</v>
      </c>
      <c r="M74" s="5">
        <f>-21912184-SUM(M72:M73)</f>
        <v>-5657594</v>
      </c>
      <c r="N74" s="5">
        <f>-10791933-SUM(N72:N73)</f>
        <v>-3028189</v>
      </c>
      <c r="O74" s="5">
        <f>-19197749-SUM(O72:O73)</f>
        <v>-6219576</v>
      </c>
      <c r="P74" s="5">
        <f>-10739262-SUM(P72:P73)</f>
        <v>-1827610</v>
      </c>
      <c r="Q74" s="5">
        <f>-9988589-SUM(Q72:Q73)</f>
        <v>-2780860</v>
      </c>
      <c r="R74" s="5">
        <f>-11663475-SUM(R72:R73)</f>
        <v>-4377954</v>
      </c>
      <c r="S74" s="5">
        <f>-8073736-SUM(S72:S73)</f>
        <v>-3259206</v>
      </c>
      <c r="T74" s="5">
        <f>-6358615-SUM(T72:T73)</f>
        <v>-2275015</v>
      </c>
      <c r="U74" s="5">
        <f>-6098958-SUM(U72:U73)</f>
        <v>-2009001</v>
      </c>
      <c r="V74" s="5">
        <f>-5401588-SUM(V72:V73)</f>
        <v>-1590946</v>
      </c>
      <c r="W74" s="5">
        <f>-8426996-SUM(W72:W73)</f>
        <v>-3622352</v>
      </c>
      <c r="X74" s="5">
        <f>-4678502-SUM(X72:X73)</f>
        <v>-1732822</v>
      </c>
    </row>
    <row r="75" spans="4:24" x14ac:dyDescent="0.25">
      <c r="D75" s="1" t="s">
        <v>72</v>
      </c>
      <c r="E75" s="2" t="s">
        <v>37</v>
      </c>
      <c r="F75" s="14">
        <f>SUM(F72:F74)</f>
        <v>-176912945</v>
      </c>
      <c r="G75" s="45">
        <f>H75-F75</f>
        <v>-117427451</v>
      </c>
      <c r="H75" s="28">
        <v>-294340396</v>
      </c>
      <c r="I75" s="3">
        <f>SUM(I72:I74)</f>
        <v>-13781864</v>
      </c>
      <c r="J75" s="3">
        <f t="shared" ref="J75:X75" si="11">SUM(J72:J74)</f>
        <v>-16385063</v>
      </c>
      <c r="K75" s="3">
        <f t="shared" si="11"/>
        <v>-9793085</v>
      </c>
      <c r="L75" s="3">
        <f t="shared" si="11"/>
        <v>-13621346</v>
      </c>
      <c r="M75" s="3">
        <f t="shared" si="11"/>
        <v>-21912184</v>
      </c>
      <c r="N75" s="3">
        <f t="shared" si="11"/>
        <v>-10791933</v>
      </c>
      <c r="O75" s="3">
        <f t="shared" si="11"/>
        <v>-19197749</v>
      </c>
      <c r="P75" s="3">
        <f t="shared" si="11"/>
        <v>-10739262</v>
      </c>
      <c r="Q75" s="3">
        <f t="shared" si="11"/>
        <v>-9988589</v>
      </c>
      <c r="R75" s="3">
        <f t="shared" si="11"/>
        <v>-11663475</v>
      </c>
      <c r="S75" s="3">
        <f t="shared" si="11"/>
        <v>-8073736</v>
      </c>
      <c r="T75" s="3">
        <f t="shared" si="11"/>
        <v>-6358615</v>
      </c>
      <c r="U75" s="3">
        <f t="shared" si="11"/>
        <v>-6098958</v>
      </c>
      <c r="V75" s="3">
        <f t="shared" si="11"/>
        <v>-5401588</v>
      </c>
      <c r="W75" s="3">
        <f t="shared" si="11"/>
        <v>-8426996</v>
      </c>
      <c r="X75" s="3">
        <f t="shared" si="11"/>
        <v>-4678502</v>
      </c>
    </row>
    <row r="76" spans="4:24" x14ac:dyDescent="0.25">
      <c r="F76" s="15"/>
      <c r="G76" s="21"/>
      <c r="H76" s="15"/>
    </row>
    <row r="77" spans="4:24" x14ac:dyDescent="0.25">
      <c r="D77" t="s">
        <v>73</v>
      </c>
      <c r="E77" t="s">
        <v>37</v>
      </c>
      <c r="F77" s="13">
        <f>SUM(I77:X77)</f>
        <v>-47313870</v>
      </c>
      <c r="G77" s="22">
        <v>-3065194</v>
      </c>
      <c r="H77" s="13">
        <f>F77+G77</f>
        <v>-50379064</v>
      </c>
      <c r="I77" s="4">
        <v>-5905791</v>
      </c>
      <c r="J77" s="4">
        <v>-9489309</v>
      </c>
      <c r="K77" s="4">
        <v>-2365646</v>
      </c>
      <c r="L77" s="4">
        <v>-2972638</v>
      </c>
      <c r="M77" s="4">
        <v>-7784156</v>
      </c>
      <c r="N77" s="4">
        <v>-2419179</v>
      </c>
      <c r="O77" s="4">
        <v>-4731275</v>
      </c>
      <c r="P77" s="4">
        <v>-3449742</v>
      </c>
      <c r="Q77" s="4">
        <v>-2338878</v>
      </c>
      <c r="R77" s="4">
        <v>-1812212</v>
      </c>
      <c r="S77" s="4">
        <v>-1365856</v>
      </c>
      <c r="T77" s="4">
        <v>-446382</v>
      </c>
      <c r="U77" s="4">
        <v>-442833</v>
      </c>
      <c r="V77" s="4">
        <v>-450899</v>
      </c>
      <c r="W77" s="4">
        <v>-1339074</v>
      </c>
      <c r="X77" s="4">
        <v>0</v>
      </c>
    </row>
    <row r="78" spans="4:24" x14ac:dyDescent="0.25">
      <c r="F78" s="15"/>
      <c r="G78" s="22"/>
      <c r="H78" s="15"/>
    </row>
    <row r="79" spans="4:24" x14ac:dyDescent="0.25">
      <c r="D79" t="s">
        <v>74</v>
      </c>
      <c r="E79" t="s">
        <v>37</v>
      </c>
      <c r="F79" s="13">
        <f>SUM(I79:X79)</f>
        <v>-2474757</v>
      </c>
      <c r="G79" s="22">
        <v>-22216087</v>
      </c>
      <c r="H79" s="13">
        <f>F79+G79</f>
        <v>-24690844</v>
      </c>
      <c r="I79" s="4">
        <v>-148000</v>
      </c>
      <c r="J79" s="4">
        <v>-245285</v>
      </c>
      <c r="K79" s="4">
        <v>-207790</v>
      </c>
      <c r="L79" s="4">
        <v>-187300</v>
      </c>
      <c r="M79" s="4">
        <v>-28765</v>
      </c>
      <c r="N79" s="4">
        <v>-119760</v>
      </c>
      <c r="O79" s="4">
        <v>-201200</v>
      </c>
      <c r="P79" s="4">
        <v>-118595</v>
      </c>
      <c r="Q79" s="4">
        <v>-152719</v>
      </c>
      <c r="R79" s="4">
        <v>-106330</v>
      </c>
      <c r="S79" s="4">
        <v>-155654</v>
      </c>
      <c r="T79" s="4">
        <v>-165236</v>
      </c>
      <c r="U79" s="4">
        <v>-59235</v>
      </c>
      <c r="V79" s="4">
        <v>-145487</v>
      </c>
      <c r="W79" s="4">
        <v>-100145</v>
      </c>
      <c r="X79" s="4">
        <v>-333256</v>
      </c>
    </row>
    <row r="80" spans="4:24" x14ac:dyDescent="0.25">
      <c r="F80" s="15"/>
      <c r="G80" s="22"/>
      <c r="H80" s="15"/>
    </row>
    <row r="81" spans="2:59" x14ac:dyDescent="0.25">
      <c r="D81" t="s">
        <v>75</v>
      </c>
      <c r="E81" t="s">
        <v>37</v>
      </c>
      <c r="F81" s="13">
        <f>SUM(I81:X81)</f>
        <v>-3305308</v>
      </c>
      <c r="G81" s="22">
        <v>-20619332</v>
      </c>
      <c r="H81" s="13">
        <f>F81+G81</f>
        <v>-23924640</v>
      </c>
      <c r="I81" s="4">
        <v>-157339</v>
      </c>
      <c r="J81" s="4">
        <v>-148949</v>
      </c>
      <c r="K81" s="4">
        <v>-180799</v>
      </c>
      <c r="L81" s="4">
        <v>-166236</v>
      </c>
      <c r="M81" s="4">
        <v>-280815</v>
      </c>
      <c r="N81" s="4">
        <v>-236161</v>
      </c>
      <c r="O81" s="4">
        <v>-254148</v>
      </c>
      <c r="P81" s="4">
        <v>-362583</v>
      </c>
      <c r="Q81" s="4">
        <v>-193491</v>
      </c>
      <c r="R81" s="4">
        <v>-296090</v>
      </c>
      <c r="S81" s="4">
        <v>-176505</v>
      </c>
      <c r="T81" s="4">
        <v>-104507</v>
      </c>
      <c r="U81" s="4">
        <v>-69830</v>
      </c>
      <c r="V81" s="4">
        <v>-193037</v>
      </c>
      <c r="W81" s="4">
        <v>-240461</v>
      </c>
      <c r="X81" s="4">
        <v>-244357</v>
      </c>
    </row>
    <row r="82" spans="2:59" x14ac:dyDescent="0.25">
      <c r="F82" s="15"/>
      <c r="G82" s="22"/>
      <c r="H82" s="15"/>
    </row>
    <row r="83" spans="2:59" x14ac:dyDescent="0.25">
      <c r="D83" t="s">
        <v>76</v>
      </c>
      <c r="E83" t="s">
        <v>37</v>
      </c>
      <c r="F83" s="13">
        <f>SUM(I83:X83)</f>
        <v>-27026462</v>
      </c>
      <c r="G83" s="22">
        <v>-4522800</v>
      </c>
      <c r="H83" s="13"/>
      <c r="I83" s="4">
        <v>-1707385</v>
      </c>
      <c r="J83" s="4">
        <v>-1769120</v>
      </c>
      <c r="K83" s="4">
        <v>-1827828</v>
      </c>
      <c r="L83" s="4">
        <v>-1902920</v>
      </c>
      <c r="M83" s="4">
        <v>-2025434</v>
      </c>
      <c r="N83" s="4">
        <v>-1828120</v>
      </c>
      <c r="O83" s="4">
        <v>-1744050</v>
      </c>
      <c r="P83" s="4">
        <v>-1814842</v>
      </c>
      <c r="Q83" s="4">
        <v>-1829102</v>
      </c>
      <c r="R83" s="4">
        <v>-1826470</v>
      </c>
      <c r="S83" s="4">
        <v>-1645928</v>
      </c>
      <c r="T83" s="4">
        <v>-1394481</v>
      </c>
      <c r="U83" s="4">
        <v>-1328301</v>
      </c>
      <c r="V83" s="4">
        <v>-1503611</v>
      </c>
      <c r="W83" s="4">
        <v>-1636820</v>
      </c>
      <c r="X83" s="4">
        <v>-1242050</v>
      </c>
    </row>
    <row r="84" spans="2:59" x14ac:dyDescent="0.25">
      <c r="D84" t="s">
        <v>77</v>
      </c>
      <c r="E84" t="s">
        <v>37</v>
      </c>
      <c r="F84" s="13">
        <f>SUM(I84:X84)</f>
        <v>-54136686</v>
      </c>
      <c r="G84" s="5">
        <f>-78625049-G83</f>
        <v>-74102249</v>
      </c>
      <c r="H84" s="13"/>
      <c r="I84" s="5">
        <f>-6521573-I83</f>
        <v>-4814188</v>
      </c>
      <c r="J84" s="5">
        <f>-6092452-J83</f>
        <v>-4323332</v>
      </c>
      <c r="K84" s="5">
        <f>-4305313-K83</f>
        <v>-2477485</v>
      </c>
      <c r="L84" s="5">
        <f>-4632124-L83</f>
        <v>-2729204</v>
      </c>
      <c r="M84" s="5">
        <f>-7406959-M83</f>
        <v>-5381525</v>
      </c>
      <c r="N84" s="5">
        <f>-5266507-N83</f>
        <v>-3438387</v>
      </c>
      <c r="O84" s="5">
        <f>-5243225-O83</f>
        <v>-3499175</v>
      </c>
      <c r="P84" s="5">
        <f>-6120178-P83</f>
        <v>-4305336</v>
      </c>
      <c r="Q84" s="5">
        <f>-6312577-Q83</f>
        <v>-4483475</v>
      </c>
      <c r="R84" s="5">
        <f>-6582752-R83</f>
        <v>-4756282</v>
      </c>
      <c r="S84" s="5">
        <f>-4034689-S83</f>
        <v>-2388761</v>
      </c>
      <c r="T84" s="5">
        <f>-5125330-T83</f>
        <v>-3730849</v>
      </c>
      <c r="U84" s="5">
        <f>-2987737-U83</f>
        <v>-1659436</v>
      </c>
      <c r="V84" s="5">
        <f>-2702674-V83</f>
        <v>-1199063</v>
      </c>
      <c r="W84" s="5">
        <f>-3704309-W83</f>
        <v>-2067489</v>
      </c>
      <c r="X84" s="5">
        <f>-4124749-X83</f>
        <v>-2882699</v>
      </c>
    </row>
    <row r="85" spans="2:59" x14ac:dyDescent="0.25">
      <c r="D85" s="1" t="s">
        <v>78</v>
      </c>
      <c r="E85" s="2" t="s">
        <v>37</v>
      </c>
      <c r="F85" s="14">
        <f>SUM(F83:F84)</f>
        <v>-81163148</v>
      </c>
      <c r="G85" s="23"/>
      <c r="H85" s="14">
        <f>F85+SUM(G83:G84)</f>
        <v>-159788197</v>
      </c>
      <c r="I85" s="3">
        <f>SUM(I83:I84)</f>
        <v>-6521573</v>
      </c>
      <c r="J85" s="3">
        <f t="shared" ref="J85:N85" si="12">SUM(J83:J84)</f>
        <v>-6092452</v>
      </c>
      <c r="K85" s="3">
        <f t="shared" si="12"/>
        <v>-4305313</v>
      </c>
      <c r="L85" s="3">
        <f t="shared" si="12"/>
        <v>-4632124</v>
      </c>
      <c r="M85" s="3">
        <f t="shared" si="12"/>
        <v>-7406959</v>
      </c>
      <c r="N85" s="3">
        <f t="shared" si="12"/>
        <v>-5266507</v>
      </c>
      <c r="O85" s="3">
        <f>SUM(O83:O84)</f>
        <v>-5243225</v>
      </c>
      <c r="P85" s="3">
        <f t="shared" ref="P85:X85" si="13">SUM(P83:P84)</f>
        <v>-6120178</v>
      </c>
      <c r="Q85" s="3">
        <f t="shared" si="13"/>
        <v>-6312577</v>
      </c>
      <c r="R85" s="3">
        <f t="shared" si="13"/>
        <v>-6582752</v>
      </c>
      <c r="S85" s="3">
        <f t="shared" si="13"/>
        <v>-4034689</v>
      </c>
      <c r="T85" s="3">
        <f t="shared" si="13"/>
        <v>-5125330</v>
      </c>
      <c r="U85" s="3">
        <f t="shared" si="13"/>
        <v>-2987737</v>
      </c>
      <c r="V85" s="3">
        <f t="shared" si="13"/>
        <v>-2702674</v>
      </c>
      <c r="W85" s="3">
        <f t="shared" si="13"/>
        <v>-3704309</v>
      </c>
      <c r="X85" s="3">
        <f t="shared" si="13"/>
        <v>-4124749</v>
      </c>
    </row>
    <row r="86" spans="2:59" ht="15.75" thickBot="1" x14ac:dyDescent="0.3">
      <c r="D86" s="18"/>
      <c r="F86" s="16"/>
      <c r="G86" s="21"/>
      <c r="H86" s="16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</row>
    <row r="87" spans="2:59" ht="15.75" thickBot="1" x14ac:dyDescent="0.3">
      <c r="D87" s="6" t="s">
        <v>79</v>
      </c>
      <c r="E87" s="7" t="s">
        <v>37</v>
      </c>
      <c r="F87" s="25">
        <f>F60+F66+F68+F70+F75+F77+F79+F81+F85</f>
        <v>-632000467</v>
      </c>
      <c r="G87" s="29">
        <f>SUM(G57:G85)</f>
        <v>-263891582</v>
      </c>
      <c r="H87" s="25">
        <f>F87+G87</f>
        <v>-895892049</v>
      </c>
      <c r="I87" s="8">
        <f t="shared" ref="I87:X87" si="14">I60+I66+I68+I70+I75+I77+I79+I81+I85</f>
        <v>-77126737</v>
      </c>
      <c r="J87" s="8">
        <f t="shared" si="14"/>
        <v>-67176448</v>
      </c>
      <c r="K87" s="8">
        <f t="shared" si="14"/>
        <v>-45285336</v>
      </c>
      <c r="L87" s="8">
        <f t="shared" si="14"/>
        <v>-43238671</v>
      </c>
      <c r="M87" s="8">
        <f t="shared" si="14"/>
        <v>-79378941</v>
      </c>
      <c r="N87" s="8">
        <f t="shared" si="14"/>
        <v>-32587745</v>
      </c>
      <c r="O87" s="8">
        <f t="shared" si="14"/>
        <v>-57690383</v>
      </c>
      <c r="P87" s="8">
        <f t="shared" si="14"/>
        <v>-44987298</v>
      </c>
      <c r="Q87" s="8">
        <f t="shared" si="14"/>
        <v>-54735298</v>
      </c>
      <c r="R87" s="8">
        <f t="shared" si="14"/>
        <v>-35815332</v>
      </c>
      <c r="S87" s="8">
        <f t="shared" si="14"/>
        <v>-13184266</v>
      </c>
      <c r="T87" s="8">
        <f t="shared" si="14"/>
        <v>-18957819</v>
      </c>
      <c r="U87" s="8">
        <f t="shared" si="14"/>
        <v>-17088651</v>
      </c>
      <c r="V87" s="8">
        <f t="shared" si="14"/>
        <v>-14831889</v>
      </c>
      <c r="W87" s="8">
        <f t="shared" si="14"/>
        <v>-17854468</v>
      </c>
      <c r="X87" s="26">
        <f t="shared" si="14"/>
        <v>-12061185</v>
      </c>
    </row>
    <row r="88" spans="2:59" x14ac:dyDescent="0.25">
      <c r="F88" s="15"/>
      <c r="G88" s="21"/>
      <c r="H88" s="15"/>
    </row>
    <row r="89" spans="2:59" x14ac:dyDescent="0.25">
      <c r="D89" s="11" t="s">
        <v>80</v>
      </c>
      <c r="E89" s="12" t="s">
        <v>37</v>
      </c>
      <c r="F89" s="12">
        <f>F55+F87</f>
        <v>459523616</v>
      </c>
      <c r="G89" s="12"/>
      <c r="H89" s="12"/>
      <c r="I89" s="12">
        <f t="shared" ref="I89:X89" si="15">I55+I87</f>
        <v>117860413</v>
      </c>
      <c r="J89" s="12">
        <f>J55+J87</f>
        <v>151884205</v>
      </c>
      <c r="K89" s="12">
        <f t="shared" si="15"/>
        <v>-1504436</v>
      </c>
      <c r="L89" s="12">
        <f t="shared" si="15"/>
        <v>12793173</v>
      </c>
      <c r="M89" s="12">
        <f t="shared" si="15"/>
        <v>45959287</v>
      </c>
      <c r="N89" s="12">
        <f t="shared" si="15"/>
        <v>19596500</v>
      </c>
      <c r="O89" s="12">
        <f t="shared" si="15"/>
        <v>49181140</v>
      </c>
      <c r="P89" s="12">
        <f t="shared" si="15"/>
        <v>18300164</v>
      </c>
      <c r="Q89" s="12">
        <f t="shared" si="15"/>
        <v>-8055400</v>
      </c>
      <c r="R89" s="12">
        <f t="shared" si="15"/>
        <v>33869875</v>
      </c>
      <c r="S89" s="12">
        <f t="shared" si="15"/>
        <v>11742832</v>
      </c>
      <c r="T89" s="12">
        <f t="shared" si="15"/>
        <v>-982321</v>
      </c>
      <c r="U89" s="12">
        <f t="shared" si="15"/>
        <v>-4184855</v>
      </c>
      <c r="V89" s="12">
        <f t="shared" si="15"/>
        <v>-2234414</v>
      </c>
      <c r="W89" s="12">
        <f t="shared" si="15"/>
        <v>17658959</v>
      </c>
      <c r="X89" s="12">
        <f t="shared" si="15"/>
        <v>-2361506</v>
      </c>
    </row>
    <row r="92" spans="2:59" x14ac:dyDescent="0.25">
      <c r="B92" s="42"/>
      <c r="C92" s="42"/>
      <c r="D92" s="42" t="s">
        <v>288</v>
      </c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</row>
    <row r="94" spans="2:59" x14ac:dyDescent="0.25">
      <c r="D94" s="31" t="str">
        <f t="shared" ref="D94:D113" si="16">D6</f>
        <v>Interest on short term loan me</v>
      </c>
      <c r="E94" t="s">
        <v>291</v>
      </c>
      <c r="F94" s="39">
        <f t="shared" ref="F94:F113" si="17">F6/$F6</f>
        <v>1</v>
      </c>
      <c r="I94" s="39">
        <f t="shared" ref="I94:X94" si="18">I6/$F6</f>
        <v>5.3289503849898084E-2</v>
      </c>
      <c r="J94" s="39">
        <f t="shared" si="18"/>
        <v>0.26121895776481935</v>
      </c>
      <c r="K94" s="39">
        <f t="shared" si="18"/>
        <v>6.7262469194848309E-2</v>
      </c>
      <c r="L94" s="39">
        <f t="shared" si="18"/>
        <v>5.1444578948484421E-2</v>
      </c>
      <c r="M94" s="39">
        <f t="shared" si="18"/>
        <v>0.12716886862012566</v>
      </c>
      <c r="N94" s="39">
        <f t="shared" si="18"/>
        <v>1.557372971275151E-2</v>
      </c>
      <c r="O94" s="39">
        <f t="shared" si="18"/>
        <v>4.7462940738948509E-2</v>
      </c>
      <c r="P94" s="39">
        <f t="shared" si="18"/>
        <v>4.0909895536414928E-2</v>
      </c>
      <c r="Q94" s="39">
        <f t="shared" si="18"/>
        <v>4.8372072150141597E-3</v>
      </c>
      <c r="R94" s="39">
        <f t="shared" si="18"/>
        <v>3.7903036797805903E-6</v>
      </c>
      <c r="S94" s="39">
        <f t="shared" si="18"/>
        <v>0.16352221268485553</v>
      </c>
      <c r="T94" s="39">
        <f t="shared" si="18"/>
        <v>6.4660414889239858E-4</v>
      </c>
      <c r="U94" s="39">
        <f t="shared" si="18"/>
        <v>5.7214958929460566E-3</v>
      </c>
      <c r="V94" s="39">
        <f t="shared" si="18"/>
        <v>9.2968568657658321E-4</v>
      </c>
      <c r="W94" s="39">
        <f t="shared" si="18"/>
        <v>0.15784598384728515</v>
      </c>
      <c r="X94" s="39">
        <f t="shared" si="18"/>
        <v>2.1620758544595295E-3</v>
      </c>
    </row>
    <row r="95" spans="2:59" x14ac:dyDescent="0.25">
      <c r="D95" s="31" t="str">
        <f t="shared" si="16"/>
        <v>Interest on short term loan Cu</v>
      </c>
      <c r="E95" t="s">
        <v>291</v>
      </c>
      <c r="F95" s="39">
        <f t="shared" si="17"/>
        <v>1</v>
      </c>
      <c r="I95" s="39">
        <f t="shared" ref="I95:X95" si="19">I7/$F7</f>
        <v>0.1036317177910327</v>
      </c>
      <c r="J95" s="39">
        <f t="shared" si="19"/>
        <v>9.1227165468494117E-2</v>
      </c>
      <c r="K95" s="39">
        <f t="shared" si="19"/>
        <v>2.3254389460605117E-2</v>
      </c>
      <c r="L95" s="39">
        <f t="shared" si="19"/>
        <v>9.9644278606234649E-2</v>
      </c>
      <c r="M95" s="39">
        <f t="shared" si="19"/>
        <v>0.11085627158284421</v>
      </c>
      <c r="N95" s="39">
        <f t="shared" si="19"/>
        <v>7.6068321469436151E-2</v>
      </c>
      <c r="O95" s="39">
        <f t="shared" si="19"/>
        <v>8.4455696745653203E-2</v>
      </c>
      <c r="P95" s="39">
        <f t="shared" si="19"/>
        <v>9.081514770621163E-2</v>
      </c>
      <c r="Q95" s="39">
        <f t="shared" si="19"/>
        <v>3.9061036605282762E-2</v>
      </c>
      <c r="R95" s="39">
        <f t="shared" si="19"/>
        <v>0.13316897239938499</v>
      </c>
      <c r="S95" s="39">
        <f t="shared" si="19"/>
        <v>2.4113387065609868E-2</v>
      </c>
      <c r="T95" s="39">
        <f t="shared" si="19"/>
        <v>2.0158715171055996E-2</v>
      </c>
      <c r="U95" s="39">
        <f t="shared" si="19"/>
        <v>2.3292535532455406E-2</v>
      </c>
      <c r="V95" s="39">
        <f t="shared" si="19"/>
        <v>1.2496053434918528E-2</v>
      </c>
      <c r="W95" s="39">
        <f t="shared" si="19"/>
        <v>5.3446155235315741E-2</v>
      </c>
      <c r="X95" s="39">
        <f t="shared" si="19"/>
        <v>1.4310155725464947E-2</v>
      </c>
    </row>
    <row r="96" spans="2:59" x14ac:dyDescent="0.25">
      <c r="D96" s="31" t="str">
        <f t="shared" si="16"/>
        <v>Interest on medium term loan m</v>
      </c>
      <c r="E96" t="s">
        <v>291</v>
      </c>
      <c r="F96" s="39">
        <f t="shared" si="17"/>
        <v>1</v>
      </c>
      <c r="G96" s="20"/>
      <c r="I96" s="39">
        <f t="shared" ref="I96:X96" si="20">I8/$F8</f>
        <v>4.3739263624366441E-2</v>
      </c>
      <c r="J96" s="39">
        <f t="shared" si="20"/>
        <v>0.5371491911196864</v>
      </c>
      <c r="K96" s="39">
        <f t="shared" si="20"/>
        <v>3.022369542938929E-2</v>
      </c>
      <c r="L96" s="39">
        <f t="shared" si="20"/>
        <v>2.7828388531435766E-2</v>
      </c>
      <c r="M96" s="39">
        <f t="shared" si="20"/>
        <v>0.16977483387237891</v>
      </c>
      <c r="N96" s="39">
        <f t="shared" si="20"/>
        <v>4.9326178807342471E-3</v>
      </c>
      <c r="O96" s="39">
        <f t="shared" si="20"/>
        <v>3.3101168514311788E-2</v>
      </c>
      <c r="P96" s="39">
        <f t="shared" si="20"/>
        <v>9.3033488170126813E-2</v>
      </c>
      <c r="Q96" s="39">
        <f t="shared" si="20"/>
        <v>2.1751819970492445E-2</v>
      </c>
      <c r="R96" s="39">
        <f t="shared" si="20"/>
        <v>0</v>
      </c>
      <c r="S96" s="39">
        <f t="shared" si="20"/>
        <v>5.8803269079914103E-3</v>
      </c>
      <c r="T96" s="39">
        <f t="shared" si="20"/>
        <v>0</v>
      </c>
      <c r="U96" s="39">
        <f t="shared" si="20"/>
        <v>5.7475332565351551E-3</v>
      </c>
      <c r="V96" s="39">
        <f t="shared" si="20"/>
        <v>1.651311859108892E-3</v>
      </c>
      <c r="W96" s="39">
        <f t="shared" si="20"/>
        <v>2.367929627535274E-2</v>
      </c>
      <c r="X96" s="39">
        <f t="shared" si="20"/>
        <v>1.507064588089736E-3</v>
      </c>
    </row>
    <row r="97" spans="4:24" x14ac:dyDescent="0.25">
      <c r="D97" s="31" t="str">
        <f t="shared" si="16"/>
        <v>Interest on medium term loan C</v>
      </c>
      <c r="E97" t="s">
        <v>291</v>
      </c>
      <c r="F97" s="39">
        <f t="shared" si="17"/>
        <v>1</v>
      </c>
      <c r="I97" s="39">
        <f t="shared" ref="I97:X97" si="21">I9/$F9</f>
        <v>0.17895588679979821</v>
      </c>
      <c r="J97" s="39">
        <f t="shared" si="21"/>
        <v>0.14712830164471094</v>
      </c>
      <c r="K97" s="39">
        <f t="shared" si="21"/>
        <v>9.460582629152451E-3</v>
      </c>
      <c r="L97" s="39">
        <f t="shared" si="21"/>
        <v>5.6161910993376182E-2</v>
      </c>
      <c r="M97" s="39">
        <f t="shared" si="21"/>
        <v>9.2957994108591194E-2</v>
      </c>
      <c r="N97" s="39">
        <f t="shared" si="21"/>
        <v>8.7986009404551813E-2</v>
      </c>
      <c r="O97" s="39">
        <f t="shared" si="21"/>
        <v>0.13143406742534577</v>
      </c>
      <c r="P97" s="39">
        <f t="shared" si="21"/>
        <v>4.375726082653978E-2</v>
      </c>
      <c r="Q97" s="39">
        <f t="shared" si="21"/>
        <v>4.8117813406910778E-2</v>
      </c>
      <c r="R97" s="39">
        <f t="shared" si="21"/>
        <v>0.10348010900794721</v>
      </c>
      <c r="S97" s="39">
        <f t="shared" si="21"/>
        <v>3.0223398933723066E-2</v>
      </c>
      <c r="T97" s="39">
        <f t="shared" si="21"/>
        <v>1.0060253999241079E-2</v>
      </c>
      <c r="U97" s="39">
        <f t="shared" si="21"/>
        <v>1.9251180150700136E-2</v>
      </c>
      <c r="V97" s="39">
        <f t="shared" si="21"/>
        <v>1.3722209595284553E-2</v>
      </c>
      <c r="W97" s="39">
        <f t="shared" si="21"/>
        <v>2.1539063412152108E-2</v>
      </c>
      <c r="X97" s="39">
        <f t="shared" si="21"/>
        <v>5.7639576619747451E-3</v>
      </c>
    </row>
    <row r="98" spans="4:24" x14ac:dyDescent="0.25">
      <c r="D98" s="31" t="str">
        <f t="shared" si="16"/>
        <v>Interest on staff loan</v>
      </c>
      <c r="E98" t="s">
        <v>291</v>
      </c>
      <c r="F98" s="39">
        <f t="shared" si="17"/>
        <v>1</v>
      </c>
      <c r="I98" s="39">
        <f t="shared" ref="I98:X98" si="22">I10/$F10</f>
        <v>1</v>
      </c>
      <c r="J98" s="39">
        <f t="shared" si="22"/>
        <v>0</v>
      </c>
      <c r="K98" s="39">
        <f t="shared" si="22"/>
        <v>0</v>
      </c>
      <c r="L98" s="39">
        <f t="shared" si="22"/>
        <v>0</v>
      </c>
      <c r="M98" s="39">
        <f t="shared" si="22"/>
        <v>0</v>
      </c>
      <c r="N98" s="39">
        <f t="shared" si="22"/>
        <v>0</v>
      </c>
      <c r="O98" s="39">
        <f t="shared" si="22"/>
        <v>0</v>
      </c>
      <c r="P98" s="39">
        <f t="shared" si="22"/>
        <v>0</v>
      </c>
      <c r="Q98" s="39">
        <f t="shared" si="22"/>
        <v>0</v>
      </c>
      <c r="R98" s="39">
        <f t="shared" si="22"/>
        <v>0</v>
      </c>
      <c r="S98" s="39">
        <f t="shared" si="22"/>
        <v>0</v>
      </c>
      <c r="T98" s="39">
        <f t="shared" si="22"/>
        <v>0</v>
      </c>
      <c r="U98" s="39">
        <f t="shared" si="22"/>
        <v>0</v>
      </c>
      <c r="V98" s="39">
        <f t="shared" si="22"/>
        <v>0</v>
      </c>
      <c r="W98" s="39">
        <f t="shared" si="22"/>
        <v>0</v>
      </c>
      <c r="X98" s="39">
        <f t="shared" si="22"/>
        <v>0</v>
      </c>
    </row>
    <row r="99" spans="4:24" x14ac:dyDescent="0.25">
      <c r="D99" s="31" t="str">
        <f t="shared" si="16"/>
        <v>Interest on development loan soc</v>
      </c>
      <c r="E99" t="s">
        <v>291</v>
      </c>
      <c r="F99" s="39">
        <f t="shared" si="17"/>
        <v>1</v>
      </c>
      <c r="I99" s="39">
        <f t="shared" ref="I99:X99" si="23">I11/$F11</f>
        <v>0.27161141998748045</v>
      </c>
      <c r="J99" s="39">
        <f t="shared" si="23"/>
        <v>0.18365501612209051</v>
      </c>
      <c r="K99" s="39">
        <f t="shared" si="23"/>
        <v>2.1814749792883077E-3</v>
      </c>
      <c r="L99" s="39">
        <f t="shared" si="23"/>
        <v>0</v>
      </c>
      <c r="M99" s="39">
        <f t="shared" si="23"/>
        <v>0</v>
      </c>
      <c r="N99" s="39">
        <f t="shared" si="23"/>
        <v>0</v>
      </c>
      <c r="O99" s="39">
        <f t="shared" si="23"/>
        <v>0.16846426865171654</v>
      </c>
      <c r="P99" s="39">
        <f t="shared" si="23"/>
        <v>0</v>
      </c>
      <c r="Q99" s="39">
        <f t="shared" si="23"/>
        <v>0.37408782025942416</v>
      </c>
      <c r="R99" s="39">
        <f t="shared" si="23"/>
        <v>0</v>
      </c>
      <c r="S99" s="39">
        <f t="shared" si="23"/>
        <v>0</v>
      </c>
      <c r="T99" s="39">
        <f t="shared" si="23"/>
        <v>0</v>
      </c>
      <c r="U99" s="39">
        <f t="shared" si="23"/>
        <v>0</v>
      </c>
      <c r="V99" s="39">
        <f t="shared" si="23"/>
        <v>0</v>
      </c>
      <c r="W99" s="39">
        <f t="shared" si="23"/>
        <v>0</v>
      </c>
      <c r="X99" s="39">
        <f t="shared" si="23"/>
        <v>0</v>
      </c>
    </row>
    <row r="100" spans="4:24" x14ac:dyDescent="0.25">
      <c r="D100" s="31" t="str">
        <f t="shared" si="16"/>
        <v>Interest on overdraft members</v>
      </c>
      <c r="E100" t="s">
        <v>291</v>
      </c>
      <c r="F100" s="39">
        <f t="shared" si="17"/>
        <v>1</v>
      </c>
      <c r="I100" s="39">
        <f t="shared" ref="I100:X100" si="24">I12/$F12</f>
        <v>0.43445173054080072</v>
      </c>
      <c r="J100" s="39">
        <f t="shared" si="24"/>
        <v>0</v>
      </c>
      <c r="K100" s="39">
        <f t="shared" si="24"/>
        <v>0</v>
      </c>
      <c r="L100" s="39">
        <f t="shared" si="24"/>
        <v>9.6392446593417988E-2</v>
      </c>
      <c r="M100" s="39">
        <f t="shared" si="24"/>
        <v>4.1831920214420573E-2</v>
      </c>
      <c r="N100" s="39">
        <f t="shared" si="24"/>
        <v>1.4574755068639134E-2</v>
      </c>
      <c r="O100" s="39">
        <f t="shared" si="24"/>
        <v>0.11549707063757526</v>
      </c>
      <c r="P100" s="39">
        <f t="shared" si="24"/>
        <v>5.5942946137425035E-3</v>
      </c>
      <c r="Q100" s="39">
        <f t="shared" si="24"/>
        <v>0.26082399379101007</v>
      </c>
      <c r="R100" s="39">
        <f t="shared" si="24"/>
        <v>3.3810820611972171E-3</v>
      </c>
      <c r="S100" s="39">
        <f t="shared" si="24"/>
        <v>0</v>
      </c>
      <c r="T100" s="39">
        <f t="shared" si="24"/>
        <v>0</v>
      </c>
      <c r="U100" s="39">
        <f t="shared" si="24"/>
        <v>0</v>
      </c>
      <c r="V100" s="39">
        <f t="shared" si="24"/>
        <v>1.9076479059468288E-2</v>
      </c>
      <c r="W100" s="39">
        <f t="shared" si="24"/>
        <v>1.7248012868299596E-4</v>
      </c>
      <c r="X100" s="39">
        <f t="shared" si="24"/>
        <v>8.2037472910452235E-3</v>
      </c>
    </row>
    <row r="101" spans="4:24" x14ac:dyDescent="0.25">
      <c r="D101" s="31" t="str">
        <f t="shared" si="16"/>
        <v>Interest on Overdue loan</v>
      </c>
      <c r="E101" t="s">
        <v>291</v>
      </c>
      <c r="F101" s="39">
        <f t="shared" si="17"/>
        <v>1</v>
      </c>
      <c r="I101" s="39">
        <f t="shared" ref="I101:X101" si="25">I13/$F13</f>
        <v>0.10315964329820128</v>
      </c>
      <c r="J101" s="39">
        <f t="shared" si="25"/>
        <v>0.2288684986307177</v>
      </c>
      <c r="K101" s="39">
        <f t="shared" si="25"/>
        <v>6.460393273626884E-2</v>
      </c>
      <c r="L101" s="39">
        <f t="shared" si="25"/>
        <v>0.16712960457791429</v>
      </c>
      <c r="M101" s="39">
        <f t="shared" si="25"/>
        <v>0.23628020129554309</v>
      </c>
      <c r="N101" s="39">
        <f t="shared" si="25"/>
        <v>7.5602697132303763E-3</v>
      </c>
      <c r="O101" s="39">
        <f t="shared" si="25"/>
        <v>0.15167030666608178</v>
      </c>
      <c r="P101" s="39">
        <f t="shared" si="25"/>
        <v>4.0727543082042628E-2</v>
      </c>
      <c r="Q101" s="39">
        <f t="shared" si="25"/>
        <v>0</v>
      </c>
      <c r="R101" s="39">
        <f t="shared" si="25"/>
        <v>0</v>
      </c>
      <c r="S101" s="39">
        <f t="shared" si="25"/>
        <v>0</v>
      </c>
      <c r="T101" s="39">
        <f t="shared" si="25"/>
        <v>0</v>
      </c>
      <c r="U101" s="39">
        <f t="shared" si="25"/>
        <v>0</v>
      </c>
      <c r="V101" s="39">
        <f t="shared" si="25"/>
        <v>0</v>
      </c>
      <c r="W101" s="39">
        <f t="shared" si="25"/>
        <v>0</v>
      </c>
      <c r="X101" s="39">
        <f t="shared" si="25"/>
        <v>0</v>
      </c>
    </row>
    <row r="102" spans="4:24" x14ac:dyDescent="0.25">
      <c r="D102" s="31" t="str">
        <f t="shared" si="16"/>
        <v>Advance interest</v>
      </c>
      <c r="E102" t="s">
        <v>291</v>
      </c>
      <c r="F102" s="39">
        <f t="shared" si="17"/>
        <v>1</v>
      </c>
      <c r="I102" s="39">
        <f t="shared" ref="I102:X102" si="26">I14/$F14</f>
        <v>0.16718886107549571</v>
      </c>
      <c r="J102" s="39">
        <f t="shared" si="26"/>
        <v>0.20194855903656597</v>
      </c>
      <c r="K102" s="39">
        <f t="shared" si="26"/>
        <v>3.9581047076086555E-2</v>
      </c>
      <c r="L102" s="39">
        <f t="shared" si="26"/>
        <v>6.6668996298474947E-2</v>
      </c>
      <c r="M102" s="39">
        <f t="shared" si="26"/>
        <v>0.11434274546957943</v>
      </c>
      <c r="N102" s="39">
        <f t="shared" si="26"/>
        <v>3.1131913197692828E-2</v>
      </c>
      <c r="O102" s="39">
        <f t="shared" si="26"/>
        <v>9.0735674843062247E-2</v>
      </c>
      <c r="P102" s="39">
        <f t="shared" si="26"/>
        <v>5.3605788387376792E-2</v>
      </c>
      <c r="Q102" s="39">
        <f t="shared" si="26"/>
        <v>4.0187532912287695E-2</v>
      </c>
      <c r="R102" s="39">
        <f t="shared" si="26"/>
        <v>5.8920663503621788E-2</v>
      </c>
      <c r="S102" s="39">
        <f t="shared" si="26"/>
        <v>2.3063891640142622E-2</v>
      </c>
      <c r="T102" s="39">
        <f t="shared" si="26"/>
        <v>2.9337126810098726E-2</v>
      </c>
      <c r="U102" s="39">
        <f t="shared" si="26"/>
        <v>1.740153037600229E-2</v>
      </c>
      <c r="V102" s="39">
        <f t="shared" si="26"/>
        <v>9.9082046910931292E-3</v>
      </c>
      <c r="W102" s="39">
        <f t="shared" si="26"/>
        <v>3.7247102529854907E-2</v>
      </c>
      <c r="X102" s="39">
        <f t="shared" si="26"/>
        <v>1.8730362152564347E-2</v>
      </c>
    </row>
    <row r="103" spans="4:24" x14ac:dyDescent="0.25">
      <c r="D103" s="31" t="str">
        <f t="shared" si="16"/>
        <v>Interest on shirika loan</v>
      </c>
      <c r="E103" t="s">
        <v>291</v>
      </c>
      <c r="F103" s="39">
        <f t="shared" si="17"/>
        <v>1</v>
      </c>
      <c r="I103" s="39">
        <f t="shared" ref="I103:X103" si="27">I15/$F15</f>
        <v>6.3618672882407028E-4</v>
      </c>
      <c r="J103" s="39">
        <f t="shared" si="27"/>
        <v>0</v>
      </c>
      <c r="K103" s="39">
        <f t="shared" si="27"/>
        <v>6.8337193377521617E-5</v>
      </c>
      <c r="L103" s="39">
        <f t="shared" si="27"/>
        <v>4.3704656877557417E-2</v>
      </c>
      <c r="M103" s="39">
        <f t="shared" si="27"/>
        <v>2.0642248749243409E-2</v>
      </c>
      <c r="N103" s="39">
        <f t="shared" si="27"/>
        <v>0.22540604844595644</v>
      </c>
      <c r="O103" s="39">
        <f t="shared" si="27"/>
        <v>0.26292804883831422</v>
      </c>
      <c r="P103" s="39">
        <f t="shared" si="27"/>
        <v>0.12548893634785585</v>
      </c>
      <c r="Q103" s="39">
        <f t="shared" si="27"/>
        <v>0</v>
      </c>
      <c r="R103" s="39">
        <f t="shared" si="27"/>
        <v>0</v>
      </c>
      <c r="S103" s="39">
        <f t="shared" si="27"/>
        <v>8.6583688888186398E-3</v>
      </c>
      <c r="T103" s="39">
        <f t="shared" si="27"/>
        <v>0</v>
      </c>
      <c r="U103" s="39">
        <f t="shared" si="27"/>
        <v>3.0519297586627855E-4</v>
      </c>
      <c r="V103" s="39">
        <f t="shared" si="27"/>
        <v>0</v>
      </c>
      <c r="W103" s="39">
        <f t="shared" si="27"/>
        <v>0.30941872476288851</v>
      </c>
      <c r="X103" s="39">
        <f t="shared" si="27"/>
        <v>2.7432501912976535E-3</v>
      </c>
    </row>
    <row r="104" spans="4:24" x14ac:dyDescent="0.25">
      <c r="D104" s="31" t="str">
        <f t="shared" si="16"/>
        <v>Interest on bonus advance loan</v>
      </c>
      <c r="E104" t="s">
        <v>291</v>
      </c>
      <c r="F104" s="39">
        <f t="shared" si="17"/>
        <v>1</v>
      </c>
      <c r="I104" s="39">
        <f t="shared" ref="I104:X104" si="28">I16/$F16</f>
        <v>0</v>
      </c>
      <c r="J104" s="39">
        <f t="shared" si="28"/>
        <v>0.46980502504290789</v>
      </c>
      <c r="K104" s="39">
        <f t="shared" si="28"/>
        <v>0.39828559607485353</v>
      </c>
      <c r="L104" s="39">
        <f t="shared" si="28"/>
        <v>2.7085803605252784E-2</v>
      </c>
      <c r="M104" s="39">
        <f t="shared" si="28"/>
        <v>1.6548712139389292E-2</v>
      </c>
      <c r="N104" s="39">
        <f t="shared" si="28"/>
        <v>0</v>
      </c>
      <c r="O104" s="39">
        <f t="shared" si="28"/>
        <v>0</v>
      </c>
      <c r="P104" s="39">
        <f t="shared" si="28"/>
        <v>0</v>
      </c>
      <c r="Q104" s="39">
        <f t="shared" si="28"/>
        <v>0</v>
      </c>
      <c r="R104" s="39">
        <f t="shared" si="28"/>
        <v>0</v>
      </c>
      <c r="S104" s="39">
        <f t="shared" si="28"/>
        <v>0</v>
      </c>
      <c r="T104" s="39">
        <f t="shared" si="28"/>
        <v>0</v>
      </c>
      <c r="U104" s="39">
        <f t="shared" si="28"/>
        <v>0</v>
      </c>
      <c r="V104" s="39">
        <f t="shared" si="28"/>
        <v>0</v>
      </c>
      <c r="W104" s="39">
        <f t="shared" si="28"/>
        <v>7.6934179279368325E-2</v>
      </c>
      <c r="X104" s="39">
        <f t="shared" si="28"/>
        <v>1.1340683858228224E-2</v>
      </c>
    </row>
    <row r="105" spans="4:24" x14ac:dyDescent="0.25">
      <c r="D105" s="31" t="str">
        <f t="shared" si="16"/>
        <v>Interest on Premium Financing</v>
      </c>
      <c r="E105" t="s">
        <v>291</v>
      </c>
      <c r="F105" s="39">
        <f t="shared" si="17"/>
        <v>1</v>
      </c>
      <c r="I105" s="39">
        <f t="shared" ref="I105:X105" si="29">I17/$F17</f>
        <v>6.1610877878304861E-2</v>
      </c>
      <c r="J105" s="39">
        <f t="shared" si="29"/>
        <v>0.32397533469531314</v>
      </c>
      <c r="K105" s="39">
        <f t="shared" si="29"/>
        <v>1.8876890495326613E-2</v>
      </c>
      <c r="L105" s="39">
        <f t="shared" si="29"/>
        <v>2.7658666906135644E-2</v>
      </c>
      <c r="M105" s="39">
        <f t="shared" si="29"/>
        <v>0</v>
      </c>
      <c r="N105" s="39">
        <f t="shared" si="29"/>
        <v>6.2486436327443889E-4</v>
      </c>
      <c r="O105" s="39">
        <f t="shared" si="29"/>
        <v>0</v>
      </c>
      <c r="P105" s="39">
        <f t="shared" si="29"/>
        <v>0.12128355371962672</v>
      </c>
      <c r="Q105" s="39">
        <f t="shared" si="29"/>
        <v>1.5266147318321623E-3</v>
      </c>
      <c r="R105" s="39">
        <f t="shared" si="29"/>
        <v>7.3992172357796593E-2</v>
      </c>
      <c r="S105" s="39">
        <f t="shared" si="29"/>
        <v>1.4139894783317992E-2</v>
      </c>
      <c r="T105" s="39">
        <f t="shared" si="29"/>
        <v>1.3537480636688144E-2</v>
      </c>
      <c r="U105" s="39">
        <f t="shared" si="29"/>
        <v>0.27033054202306384</v>
      </c>
      <c r="V105" s="39">
        <f t="shared" si="29"/>
        <v>0</v>
      </c>
      <c r="W105" s="39">
        <f t="shared" si="29"/>
        <v>7.2443107409319835E-2</v>
      </c>
      <c r="X105" s="39">
        <f t="shared" si="29"/>
        <v>0</v>
      </c>
    </row>
    <row r="106" spans="4:24" x14ac:dyDescent="0.25">
      <c r="D106" s="31" t="str">
        <f t="shared" si="16"/>
        <v>Interest on MFI loan</v>
      </c>
      <c r="E106" t="s">
        <v>291</v>
      </c>
      <c r="F106" s="39">
        <f t="shared" si="17"/>
        <v>1</v>
      </c>
      <c r="I106" s="39">
        <f t="shared" ref="I106:X106" si="30">I18/$F18</f>
        <v>4.1005916766678745E-2</v>
      </c>
      <c r="J106" s="39">
        <f t="shared" si="30"/>
        <v>7.6728354953421063E-2</v>
      </c>
      <c r="K106" s="39">
        <f t="shared" si="30"/>
        <v>2.6727994528322981E-3</v>
      </c>
      <c r="L106" s="39">
        <f t="shared" si="30"/>
        <v>0.1121687428330176</v>
      </c>
      <c r="M106" s="39">
        <f t="shared" si="30"/>
        <v>2.3489751701029783E-2</v>
      </c>
      <c r="N106" s="39">
        <f t="shared" si="30"/>
        <v>9.8133577498957944E-2</v>
      </c>
      <c r="O106" s="39">
        <f t="shared" si="30"/>
        <v>0.42369171696481361</v>
      </c>
      <c r="P106" s="39">
        <f t="shared" si="30"/>
        <v>0.15488279187825152</v>
      </c>
      <c r="Q106" s="39">
        <f t="shared" si="30"/>
        <v>5.5528786728554248E-2</v>
      </c>
      <c r="R106" s="39">
        <f t="shared" si="30"/>
        <v>1.0695367435012881E-2</v>
      </c>
      <c r="S106" s="39">
        <f t="shared" si="30"/>
        <v>1.0021937874303232E-3</v>
      </c>
      <c r="T106" s="39">
        <f t="shared" si="30"/>
        <v>0</v>
      </c>
      <c r="U106" s="39">
        <f t="shared" si="30"/>
        <v>0</v>
      </c>
      <c r="V106" s="39">
        <f t="shared" si="30"/>
        <v>0</v>
      </c>
      <c r="W106" s="39">
        <f t="shared" si="30"/>
        <v>0</v>
      </c>
      <c r="X106" s="39">
        <f t="shared" si="30"/>
        <v>0</v>
      </c>
    </row>
    <row r="107" spans="4:24" x14ac:dyDescent="0.25">
      <c r="D107" s="31" t="str">
        <f t="shared" si="16"/>
        <v>Interest on Jijenge Loan</v>
      </c>
      <c r="E107" t="s">
        <v>291</v>
      </c>
      <c r="F107" s="39">
        <f t="shared" si="17"/>
        <v>1</v>
      </c>
      <c r="I107" s="39">
        <f t="shared" ref="I107:X107" si="31">I19/$F19</f>
        <v>0.39458872321713651</v>
      </c>
      <c r="J107" s="39">
        <f t="shared" si="31"/>
        <v>8.1942235724335552E-2</v>
      </c>
      <c r="K107" s="39">
        <f t="shared" si="31"/>
        <v>2.2699420244511846E-2</v>
      </c>
      <c r="L107" s="39">
        <f t="shared" si="31"/>
        <v>2.6907374657370774E-2</v>
      </c>
      <c r="M107" s="39">
        <f t="shared" si="31"/>
        <v>7.3526160719761313E-2</v>
      </c>
      <c r="N107" s="39">
        <f t="shared" si="31"/>
        <v>3.4935468562357068E-2</v>
      </c>
      <c r="O107" s="39">
        <f t="shared" si="31"/>
        <v>6.6527983542284189E-2</v>
      </c>
      <c r="P107" s="39">
        <f t="shared" si="31"/>
        <v>6.1648626666689181E-2</v>
      </c>
      <c r="Q107" s="39">
        <f t="shared" si="31"/>
        <v>5.4349246988430321E-2</v>
      </c>
      <c r="R107" s="39">
        <f t="shared" si="31"/>
        <v>8.8267587948065884E-2</v>
      </c>
      <c r="S107" s="39">
        <f t="shared" si="31"/>
        <v>1.4948054018338356E-3</v>
      </c>
      <c r="T107" s="39">
        <f t="shared" si="31"/>
        <v>4.8220318172951485E-2</v>
      </c>
      <c r="U107" s="39">
        <f t="shared" si="31"/>
        <v>9.2938516654823876E-4</v>
      </c>
      <c r="V107" s="39">
        <f t="shared" si="31"/>
        <v>1.4852853475090367E-2</v>
      </c>
      <c r="W107" s="39">
        <f t="shared" si="31"/>
        <v>2.3655546912630162E-2</v>
      </c>
      <c r="X107" s="39">
        <f t="shared" si="31"/>
        <v>5.4542626000032785E-3</v>
      </c>
    </row>
    <row r="108" spans="4:24" x14ac:dyDescent="0.25">
      <c r="D108" s="31" t="str">
        <f t="shared" si="16"/>
        <v>Interest on Soko loan</v>
      </c>
      <c r="E108" t="s">
        <v>291</v>
      </c>
      <c r="F108" s="39">
        <f t="shared" si="17"/>
        <v>1</v>
      </c>
      <c r="I108" s="39">
        <f t="shared" ref="I108:X108" si="32">I20/$F20</f>
        <v>0</v>
      </c>
      <c r="J108" s="39">
        <f t="shared" si="32"/>
        <v>0</v>
      </c>
      <c r="K108" s="39">
        <f t="shared" si="32"/>
        <v>0</v>
      </c>
      <c r="L108" s="39">
        <f t="shared" si="32"/>
        <v>0</v>
      </c>
      <c r="M108" s="39">
        <f t="shared" si="32"/>
        <v>0</v>
      </c>
      <c r="N108" s="39">
        <f t="shared" si="32"/>
        <v>0</v>
      </c>
      <c r="O108" s="39">
        <f t="shared" si="32"/>
        <v>0</v>
      </c>
      <c r="P108" s="39">
        <f t="shared" si="32"/>
        <v>0</v>
      </c>
      <c r="Q108" s="39">
        <f t="shared" si="32"/>
        <v>0</v>
      </c>
      <c r="R108" s="39">
        <f t="shared" si="32"/>
        <v>0</v>
      </c>
      <c r="S108" s="39">
        <f t="shared" si="32"/>
        <v>1</v>
      </c>
      <c r="T108" s="39">
        <f t="shared" si="32"/>
        <v>0</v>
      </c>
      <c r="U108" s="39">
        <f t="shared" si="32"/>
        <v>0</v>
      </c>
      <c r="V108" s="39">
        <f t="shared" si="32"/>
        <v>0</v>
      </c>
      <c r="W108" s="39">
        <f t="shared" si="32"/>
        <v>0</v>
      </c>
      <c r="X108" s="39">
        <f t="shared" si="32"/>
        <v>0</v>
      </c>
    </row>
    <row r="109" spans="4:24" x14ac:dyDescent="0.25">
      <c r="D109" s="31" t="str">
        <f t="shared" si="16"/>
        <v>Interest on Inuka loan</v>
      </c>
      <c r="E109" t="s">
        <v>291</v>
      </c>
      <c r="F109" s="39">
        <f t="shared" si="17"/>
        <v>1</v>
      </c>
      <c r="I109" s="39">
        <f t="shared" ref="I109:X109" si="33">I21/$F21</f>
        <v>7.4771113055685998E-2</v>
      </c>
      <c r="J109" s="39">
        <f t="shared" si="33"/>
        <v>0.44327988420353698</v>
      </c>
      <c r="K109" s="39">
        <f t="shared" si="33"/>
        <v>9.2729945900495214E-2</v>
      </c>
      <c r="L109" s="39">
        <f t="shared" si="33"/>
        <v>5.2663946977711741E-2</v>
      </c>
      <c r="M109" s="39">
        <f t="shared" si="33"/>
        <v>0.12505125836776679</v>
      </c>
      <c r="N109" s="39">
        <f t="shared" si="33"/>
        <v>8.2225107771976332E-3</v>
      </c>
      <c r="O109" s="39">
        <f t="shared" si="33"/>
        <v>5.2034827796327281E-2</v>
      </c>
      <c r="P109" s="39">
        <f t="shared" si="33"/>
        <v>7.0934391877338798E-2</v>
      </c>
      <c r="Q109" s="39">
        <f t="shared" si="33"/>
        <v>2.6224550184458233E-2</v>
      </c>
      <c r="R109" s="39">
        <f t="shared" si="33"/>
        <v>1.2347659124521456E-3</v>
      </c>
      <c r="S109" s="39">
        <f t="shared" si="33"/>
        <v>1.8589246066333647E-3</v>
      </c>
      <c r="T109" s="39">
        <f t="shared" si="33"/>
        <v>4.8994875888610174E-3</v>
      </c>
      <c r="U109" s="39">
        <f t="shared" si="33"/>
        <v>3.4132465425404193E-3</v>
      </c>
      <c r="V109" s="39">
        <f t="shared" si="33"/>
        <v>1.6751241775296542E-2</v>
      </c>
      <c r="W109" s="39">
        <f t="shared" si="33"/>
        <v>1.9074834628859224E-2</v>
      </c>
      <c r="X109" s="39">
        <f t="shared" si="33"/>
        <v>6.8550698048386177E-3</v>
      </c>
    </row>
    <row r="110" spans="4:24" x14ac:dyDescent="0.25">
      <c r="D110" s="31" t="str">
        <f t="shared" si="16"/>
        <v>Interest on youthbiz loan</v>
      </c>
      <c r="E110" t="s">
        <v>291</v>
      </c>
      <c r="F110" s="39">
        <f t="shared" si="17"/>
        <v>1</v>
      </c>
      <c r="I110" s="39">
        <f t="shared" ref="I110:X110" si="34">I22/$F22</f>
        <v>0</v>
      </c>
      <c r="J110" s="39">
        <f t="shared" si="34"/>
        <v>0</v>
      </c>
      <c r="K110" s="39">
        <f t="shared" si="34"/>
        <v>0</v>
      </c>
      <c r="L110" s="39">
        <f t="shared" si="34"/>
        <v>0</v>
      </c>
      <c r="M110" s="39">
        <f t="shared" si="34"/>
        <v>0</v>
      </c>
      <c r="N110" s="39">
        <f t="shared" si="34"/>
        <v>0</v>
      </c>
      <c r="O110" s="39">
        <f t="shared" si="34"/>
        <v>0</v>
      </c>
      <c r="P110" s="39">
        <f t="shared" si="34"/>
        <v>0</v>
      </c>
      <c r="Q110" s="39">
        <f t="shared" si="34"/>
        <v>0</v>
      </c>
      <c r="R110" s="39">
        <f t="shared" si="34"/>
        <v>0</v>
      </c>
      <c r="S110" s="39">
        <f t="shared" si="34"/>
        <v>0.11865744436930507</v>
      </c>
      <c r="T110" s="39">
        <f t="shared" si="34"/>
        <v>6.7275855278523658E-2</v>
      </c>
      <c r="U110" s="39">
        <f t="shared" si="34"/>
        <v>0</v>
      </c>
      <c r="V110" s="39">
        <f t="shared" si="34"/>
        <v>3.6349814297206899E-2</v>
      </c>
      <c r="W110" s="39">
        <f t="shared" si="34"/>
        <v>0.11760260976157075</v>
      </c>
      <c r="X110" s="39">
        <f t="shared" si="34"/>
        <v>0.66011427629339359</v>
      </c>
    </row>
    <row r="111" spans="4:24" x14ac:dyDescent="0.25">
      <c r="D111" s="31" t="str">
        <f t="shared" si="16"/>
        <v>Interest on Kwamua Biashara</v>
      </c>
      <c r="E111" t="s">
        <v>291</v>
      </c>
      <c r="F111" s="39">
        <f t="shared" si="17"/>
        <v>1</v>
      </c>
      <c r="I111" s="39">
        <f t="shared" ref="I111:X111" si="35">I23/$F23</f>
        <v>0.12837220986716416</v>
      </c>
      <c r="J111" s="39">
        <f t="shared" si="35"/>
        <v>6.0216068385996357E-2</v>
      </c>
      <c r="K111" s="39">
        <f t="shared" si="35"/>
        <v>6.4040773171573735E-3</v>
      </c>
      <c r="L111" s="39">
        <f t="shared" si="35"/>
        <v>8.4880138870505967E-2</v>
      </c>
      <c r="M111" s="39">
        <f t="shared" si="35"/>
        <v>6.5353603921704626E-2</v>
      </c>
      <c r="N111" s="39">
        <f t="shared" si="35"/>
        <v>7.3966142034355475E-2</v>
      </c>
      <c r="O111" s="39">
        <f t="shared" si="35"/>
        <v>0.18695178471423657</v>
      </c>
      <c r="P111" s="39">
        <f t="shared" si="35"/>
        <v>6.536632363830934E-2</v>
      </c>
      <c r="Q111" s="39">
        <f t="shared" si="35"/>
        <v>4.8637616353907634E-2</v>
      </c>
      <c r="R111" s="39">
        <f t="shared" si="35"/>
        <v>0.10546844016315317</v>
      </c>
      <c r="S111" s="39">
        <f t="shared" si="35"/>
        <v>1.8118576318119632E-2</v>
      </c>
      <c r="T111" s="39">
        <f t="shared" si="35"/>
        <v>2.2795772110197385E-2</v>
      </c>
      <c r="U111" s="39">
        <f t="shared" si="35"/>
        <v>2.3268201584468698E-2</v>
      </c>
      <c r="V111" s="39">
        <f t="shared" si="35"/>
        <v>5.9974363771175175E-2</v>
      </c>
      <c r="W111" s="39">
        <f t="shared" si="35"/>
        <v>2.9607000356032066E-2</v>
      </c>
      <c r="X111" s="39">
        <f t="shared" si="35"/>
        <v>2.0619680593516376E-2</v>
      </c>
    </row>
    <row r="112" spans="4:24" x14ac:dyDescent="0.25">
      <c r="D112" s="31" t="str">
        <f t="shared" si="16"/>
        <v>Interest on Uni-Mobiloan</v>
      </c>
      <c r="E112" t="s">
        <v>291</v>
      </c>
      <c r="F112" s="39">
        <f t="shared" si="17"/>
        <v>1</v>
      </c>
      <c r="I112" s="39">
        <f t="shared" ref="I112:X112" si="36">I24/$F24</f>
        <v>0.26348169251476344</v>
      </c>
      <c r="J112" s="39">
        <f t="shared" si="36"/>
        <v>0.1048044769132731</v>
      </c>
      <c r="K112" s="39">
        <f t="shared" si="36"/>
        <v>2.5333479889820515E-2</v>
      </c>
      <c r="L112" s="39">
        <f t="shared" si="36"/>
        <v>5.1961239848098896E-2</v>
      </c>
      <c r="M112" s="39">
        <f t="shared" si="36"/>
        <v>6.4555494916229125E-2</v>
      </c>
      <c r="N112" s="39">
        <f t="shared" si="36"/>
        <v>2.9166430717316522E-2</v>
      </c>
      <c r="O112" s="39">
        <f t="shared" si="36"/>
        <v>7.0033187873134839E-2</v>
      </c>
      <c r="P112" s="39">
        <f t="shared" si="36"/>
        <v>7.5435088540972473E-2</v>
      </c>
      <c r="Q112" s="39">
        <f t="shared" si="36"/>
        <v>3.5673316193313119E-2</v>
      </c>
      <c r="R112" s="39">
        <f t="shared" si="36"/>
        <v>0.11030937101796834</v>
      </c>
      <c r="S112" s="39">
        <f t="shared" si="36"/>
        <v>2.2252578977914397E-2</v>
      </c>
      <c r="T112" s="39">
        <f t="shared" si="36"/>
        <v>3.6637535061661293E-2</v>
      </c>
      <c r="U112" s="39">
        <f t="shared" si="36"/>
        <v>1.9420877672234577E-2</v>
      </c>
      <c r="V112" s="39">
        <f t="shared" si="36"/>
        <v>1.1937841915336676E-2</v>
      </c>
      <c r="W112" s="39">
        <f t="shared" si="36"/>
        <v>3.0413356060304451E-2</v>
      </c>
      <c r="X112" s="39">
        <f t="shared" si="36"/>
        <v>4.8584031887658273E-2</v>
      </c>
    </row>
    <row r="113" spans="4:24" s="18" customFormat="1" x14ac:dyDescent="0.25">
      <c r="D113" s="19" t="str">
        <f t="shared" si="16"/>
        <v>Total interest on loan Portfolio</v>
      </c>
      <c r="E113" t="s">
        <v>291</v>
      </c>
      <c r="F113" s="64">
        <f t="shared" si="17"/>
        <v>1</v>
      </c>
      <c r="I113" s="39">
        <f t="shared" ref="I113:X113" si="37">I25/$F25</f>
        <v>0.20848101512890302</v>
      </c>
      <c r="J113" s="39">
        <f t="shared" si="37"/>
        <v>0.17802311632964146</v>
      </c>
      <c r="K113" s="39">
        <f t="shared" si="37"/>
        <v>2.9789305693504683E-2</v>
      </c>
      <c r="L113" s="39">
        <f t="shared" si="37"/>
        <v>5.3313712210058962E-2</v>
      </c>
      <c r="M113" s="39">
        <f t="shared" si="37"/>
        <v>9.4180835011297467E-2</v>
      </c>
      <c r="N113" s="39">
        <f t="shared" si="37"/>
        <v>5.0827469199436669E-2</v>
      </c>
      <c r="O113" s="39">
        <f t="shared" si="37"/>
        <v>9.7927967717443762E-2</v>
      </c>
      <c r="P113" s="39">
        <f t="shared" si="37"/>
        <v>5.6879696361299532E-2</v>
      </c>
      <c r="Q113" s="39">
        <f t="shared" si="37"/>
        <v>4.719279220420608E-2</v>
      </c>
      <c r="R113" s="39">
        <f t="shared" si="37"/>
        <v>7.1204209505088017E-2</v>
      </c>
      <c r="S113" s="39">
        <f t="shared" si="37"/>
        <v>2.483880258853258E-2</v>
      </c>
      <c r="T113" s="39">
        <f t="shared" si="37"/>
        <v>1.847842258525885E-2</v>
      </c>
      <c r="U113" s="39">
        <f t="shared" si="37"/>
        <v>1.2242279577246924E-2</v>
      </c>
      <c r="V113" s="39">
        <f t="shared" si="37"/>
        <v>1.2597955368655947E-2</v>
      </c>
      <c r="W113" s="39">
        <f t="shared" si="37"/>
        <v>3.4914549438831204E-2</v>
      </c>
      <c r="X113" s="39">
        <f t="shared" si="37"/>
        <v>9.1078710805948607E-3</v>
      </c>
    </row>
    <row r="114" spans="4:24" x14ac:dyDescent="0.25">
      <c r="D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</row>
    <row r="115" spans="4:24" x14ac:dyDescent="0.25">
      <c r="D115" s="31" t="str">
        <f t="shared" ref="D115:D121" si="38">D27</f>
        <v>Loan Processing fee</v>
      </c>
      <c r="E115" t="s">
        <v>291</v>
      </c>
      <c r="F115" s="39">
        <f t="shared" ref="F115:F121" si="39">F27/$F27</f>
        <v>1</v>
      </c>
      <c r="I115" s="39">
        <f t="shared" ref="I115:X115" si="40">I27/$F27</f>
        <v>0.25934110897190266</v>
      </c>
      <c r="J115" s="39">
        <f t="shared" si="40"/>
        <v>0.1456636733680948</v>
      </c>
      <c r="K115" s="39">
        <f t="shared" si="40"/>
        <v>6.7891197470392725E-2</v>
      </c>
      <c r="L115" s="39">
        <f t="shared" si="40"/>
        <v>6.6068271967423584E-2</v>
      </c>
      <c r="M115" s="39">
        <f t="shared" si="40"/>
        <v>9.3364025871344902E-2</v>
      </c>
      <c r="N115" s="39">
        <f t="shared" si="40"/>
        <v>4.3562808514879342E-2</v>
      </c>
      <c r="O115" s="39">
        <f t="shared" si="40"/>
        <v>8.5864902195929571E-2</v>
      </c>
      <c r="P115" s="39">
        <f t="shared" si="40"/>
        <v>5.5213062936502993E-2</v>
      </c>
      <c r="Q115" s="39">
        <f t="shared" si="40"/>
        <v>2.5597764105205516E-2</v>
      </c>
      <c r="R115" s="39">
        <f t="shared" si="40"/>
        <v>4.3940455075463292E-2</v>
      </c>
      <c r="S115" s="39">
        <f t="shared" si="40"/>
        <v>1.7320631726030766E-2</v>
      </c>
      <c r="T115" s="39">
        <f t="shared" si="40"/>
        <v>1.595769677053982E-2</v>
      </c>
      <c r="U115" s="39">
        <f t="shared" si="40"/>
        <v>9.3559805798805531E-3</v>
      </c>
      <c r="V115" s="39">
        <f t="shared" si="40"/>
        <v>1.5077467945118585E-2</v>
      </c>
      <c r="W115" s="39">
        <f t="shared" si="40"/>
        <v>4.1526924425114749E-2</v>
      </c>
      <c r="X115" s="39">
        <f t="shared" si="40"/>
        <v>1.4254028076176138E-2</v>
      </c>
    </row>
    <row r="116" spans="4:24" x14ac:dyDescent="0.25">
      <c r="D116" s="31" t="str">
        <f t="shared" si="38"/>
        <v>Other loan recovey inome</v>
      </c>
      <c r="E116" t="s">
        <v>291</v>
      </c>
      <c r="F116" s="39">
        <f t="shared" si="39"/>
        <v>1</v>
      </c>
      <c r="I116" s="39">
        <f t="shared" ref="I116:X116" si="41">I28/$F28</f>
        <v>0.12985292695219236</v>
      </c>
      <c r="J116" s="39">
        <f t="shared" si="41"/>
        <v>0.27533051982100765</v>
      </c>
      <c r="K116" s="39">
        <f t="shared" si="41"/>
        <v>3.1155661217819815E-2</v>
      </c>
      <c r="L116" s="39">
        <f t="shared" si="41"/>
        <v>0.15921866488828251</v>
      </c>
      <c r="M116" s="39">
        <f t="shared" si="41"/>
        <v>4.1023656921189415E-2</v>
      </c>
      <c r="N116" s="39">
        <f t="shared" si="41"/>
        <v>3.7578207327689336E-2</v>
      </c>
      <c r="O116" s="39">
        <f t="shared" si="41"/>
        <v>4.4348963768816849E-2</v>
      </c>
      <c r="P116" s="39">
        <f t="shared" si="41"/>
        <v>8.3034927939806449E-2</v>
      </c>
      <c r="Q116" s="39">
        <f t="shared" si="41"/>
        <v>0</v>
      </c>
      <c r="R116" s="39">
        <f t="shared" si="41"/>
        <v>1.85304913125595E-3</v>
      </c>
      <c r="S116" s="39">
        <f t="shared" si="41"/>
        <v>0.10173137914708832</v>
      </c>
      <c r="T116" s="39">
        <f t="shared" si="41"/>
        <v>0</v>
      </c>
      <c r="U116" s="39">
        <f t="shared" si="41"/>
        <v>6.6180326116283923E-3</v>
      </c>
      <c r="V116" s="39">
        <f t="shared" si="41"/>
        <v>0</v>
      </c>
      <c r="W116" s="39">
        <f t="shared" si="41"/>
        <v>8.8254010273222924E-2</v>
      </c>
      <c r="X116" s="39">
        <f t="shared" si="41"/>
        <v>0</v>
      </c>
    </row>
    <row r="117" spans="4:24" x14ac:dyDescent="0.25">
      <c r="D117" s="31" t="str">
        <f t="shared" si="38"/>
        <v>Ledger fee on loans</v>
      </c>
      <c r="E117" t="s">
        <v>291</v>
      </c>
      <c r="F117" s="39">
        <f t="shared" si="39"/>
        <v>1</v>
      </c>
      <c r="I117" s="39">
        <f t="shared" ref="I117:X117" si="42">I29/$F29</f>
        <v>0.12589122155854454</v>
      </c>
      <c r="J117" s="39">
        <f t="shared" si="42"/>
        <v>0.17745378642221138</v>
      </c>
      <c r="K117" s="39">
        <f t="shared" si="42"/>
        <v>3.3248311141659041E-2</v>
      </c>
      <c r="L117" s="39">
        <f t="shared" si="42"/>
        <v>8.701946557771395E-2</v>
      </c>
      <c r="M117" s="39">
        <f t="shared" si="42"/>
        <v>7.7385666512224394E-2</v>
      </c>
      <c r="N117" s="39">
        <f t="shared" si="42"/>
        <v>6.9110476563546963E-2</v>
      </c>
      <c r="O117" s="39">
        <f t="shared" si="42"/>
        <v>6.3106228890141391E-2</v>
      </c>
      <c r="P117" s="39">
        <f t="shared" si="42"/>
        <v>8.6569957754511442E-2</v>
      </c>
      <c r="Q117" s="39">
        <f t="shared" si="42"/>
        <v>5.6074916856097598E-2</v>
      </c>
      <c r="R117" s="39">
        <f t="shared" si="42"/>
        <v>6.5035429318419199E-2</v>
      </c>
      <c r="S117" s="39">
        <f t="shared" si="42"/>
        <v>3.5401791846172148E-2</v>
      </c>
      <c r="T117" s="39">
        <f t="shared" si="42"/>
        <v>2.0439316304563141E-2</v>
      </c>
      <c r="U117" s="39">
        <f t="shared" si="42"/>
        <v>1.6301526303897265E-2</v>
      </c>
      <c r="V117" s="39">
        <f t="shared" si="42"/>
        <v>1.3120089689821771E-2</v>
      </c>
      <c r="W117" s="39">
        <f t="shared" si="42"/>
        <v>6.115613278395346E-2</v>
      </c>
      <c r="X117" s="39">
        <f t="shared" si="42"/>
        <v>1.2685682476522313E-2</v>
      </c>
    </row>
    <row r="118" spans="4:24" x14ac:dyDescent="0.25">
      <c r="D118" s="31" t="str">
        <f t="shared" si="38"/>
        <v>Ledger fee on MFI loan</v>
      </c>
      <c r="E118" t="s">
        <v>291</v>
      </c>
      <c r="F118" s="39">
        <f t="shared" si="39"/>
        <v>1</v>
      </c>
      <c r="I118" s="39">
        <f t="shared" ref="I118:X118" si="43">I30/$F30</f>
        <v>4.6226561015520654E-2</v>
      </c>
      <c r="J118" s="39">
        <f t="shared" si="43"/>
        <v>7.7261042705269442E-2</v>
      </c>
      <c r="K118" s="39">
        <f t="shared" si="43"/>
        <v>4.1911428977935827E-3</v>
      </c>
      <c r="L118" s="39">
        <f t="shared" si="43"/>
        <v>9.980536804781269E-2</v>
      </c>
      <c r="M118" s="39">
        <f t="shared" si="43"/>
        <v>3.8293115905977795E-2</v>
      </c>
      <c r="N118" s="39">
        <f t="shared" si="43"/>
        <v>9.8036043022991612E-2</v>
      </c>
      <c r="O118" s="39">
        <f t="shared" si="43"/>
        <v>0.39307316072185239</v>
      </c>
      <c r="P118" s="39">
        <f t="shared" si="43"/>
        <v>0.1846979423072333</v>
      </c>
      <c r="Q118" s="39">
        <f t="shared" si="43"/>
        <v>4.5947585450990348E-2</v>
      </c>
      <c r="R118" s="39">
        <f t="shared" si="43"/>
        <v>1.2170463989059199E-2</v>
      </c>
      <c r="S118" s="39">
        <f t="shared" si="43"/>
        <v>0</v>
      </c>
      <c r="T118" s="39">
        <f t="shared" si="43"/>
        <v>0</v>
      </c>
      <c r="U118" s="39">
        <f t="shared" si="43"/>
        <v>0</v>
      </c>
      <c r="V118" s="39">
        <f t="shared" si="43"/>
        <v>0</v>
      </c>
      <c r="W118" s="39">
        <f t="shared" si="43"/>
        <v>2.9757393549898967E-4</v>
      </c>
      <c r="X118" s="39">
        <f t="shared" si="43"/>
        <v>0</v>
      </c>
    </row>
    <row r="119" spans="4:24" x14ac:dyDescent="0.25">
      <c r="D119" s="31" t="str">
        <f t="shared" si="38"/>
        <v>MFI loan procesing fee</v>
      </c>
      <c r="E119" t="s">
        <v>291</v>
      </c>
      <c r="F119" s="39">
        <f t="shared" si="39"/>
        <v>1</v>
      </c>
      <c r="I119" s="39">
        <f t="shared" ref="I119:X119" si="44">I31/$F31</f>
        <v>4.830917874396135E-3</v>
      </c>
      <c r="J119" s="39">
        <f t="shared" si="44"/>
        <v>6.6988727858293073E-2</v>
      </c>
      <c r="K119" s="39">
        <f t="shared" si="44"/>
        <v>0</v>
      </c>
      <c r="L119" s="39">
        <f t="shared" si="44"/>
        <v>9.0177133655394523E-2</v>
      </c>
      <c r="M119" s="39">
        <f t="shared" si="44"/>
        <v>3.864734299516908E-2</v>
      </c>
      <c r="N119" s="39">
        <f t="shared" si="44"/>
        <v>0.12367149758454106</v>
      </c>
      <c r="O119" s="39">
        <f t="shared" si="44"/>
        <v>0.43607085346215779</v>
      </c>
      <c r="P119" s="39">
        <f t="shared" si="44"/>
        <v>0.19838969404186796</v>
      </c>
      <c r="Q119" s="39">
        <f t="shared" si="44"/>
        <v>3.3494363929146537E-2</v>
      </c>
      <c r="R119" s="39">
        <f t="shared" si="44"/>
        <v>5.1529790660225444E-3</v>
      </c>
      <c r="S119" s="39">
        <f t="shared" si="44"/>
        <v>0</v>
      </c>
      <c r="T119" s="39">
        <f t="shared" si="44"/>
        <v>0</v>
      </c>
      <c r="U119" s="39">
        <f t="shared" si="44"/>
        <v>0</v>
      </c>
      <c r="V119" s="39">
        <f t="shared" si="44"/>
        <v>0</v>
      </c>
      <c r="W119" s="39">
        <f t="shared" si="44"/>
        <v>2.5764895330112722E-3</v>
      </c>
      <c r="X119" s="39">
        <f t="shared" si="44"/>
        <v>0</v>
      </c>
    </row>
    <row r="120" spans="4:24" x14ac:dyDescent="0.25">
      <c r="D120" s="31" t="str">
        <f t="shared" si="38"/>
        <v>MFI other incomes</v>
      </c>
      <c r="E120" t="s">
        <v>291</v>
      </c>
      <c r="F120" s="39">
        <f t="shared" si="39"/>
        <v>1</v>
      </c>
      <c r="I120" s="39">
        <f t="shared" ref="I120:X120" si="45">I32/$F32</f>
        <v>4.42297825663889E-3</v>
      </c>
      <c r="J120" s="39">
        <f t="shared" si="45"/>
        <v>0</v>
      </c>
      <c r="K120" s="39">
        <f t="shared" si="45"/>
        <v>0</v>
      </c>
      <c r="L120" s="39">
        <f t="shared" si="45"/>
        <v>0.19107266068680007</v>
      </c>
      <c r="M120" s="39">
        <f t="shared" si="45"/>
        <v>1.3268934769916672E-2</v>
      </c>
      <c r="N120" s="39">
        <f t="shared" si="45"/>
        <v>0.10172849990269447</v>
      </c>
      <c r="O120" s="39">
        <f t="shared" si="45"/>
        <v>0.3794915344196168</v>
      </c>
      <c r="P120" s="39">
        <f t="shared" si="45"/>
        <v>0.12826636944252781</v>
      </c>
      <c r="Q120" s="39">
        <f t="shared" si="45"/>
        <v>8.84595651327778E-3</v>
      </c>
      <c r="R120" s="39">
        <f t="shared" si="45"/>
        <v>0</v>
      </c>
      <c r="S120" s="39">
        <f t="shared" si="45"/>
        <v>0</v>
      </c>
      <c r="T120" s="39">
        <f t="shared" si="45"/>
        <v>0</v>
      </c>
      <c r="U120" s="39">
        <f t="shared" si="45"/>
        <v>0</v>
      </c>
      <c r="V120" s="39">
        <f t="shared" si="45"/>
        <v>0</v>
      </c>
      <c r="W120" s="39">
        <f t="shared" si="45"/>
        <v>0.17290306600852751</v>
      </c>
      <c r="X120" s="39">
        <f t="shared" si="45"/>
        <v>0</v>
      </c>
    </row>
    <row r="121" spans="4:24" s="18" customFormat="1" x14ac:dyDescent="0.25">
      <c r="D121" s="19" t="str">
        <f t="shared" si="38"/>
        <v>Total fees and Commision on loan Portfolio</v>
      </c>
      <c r="E121" t="s">
        <v>291</v>
      </c>
      <c r="F121" s="64">
        <f t="shared" si="39"/>
        <v>1</v>
      </c>
      <c r="I121" s="39">
        <f t="shared" ref="I121:X121" si="46">I33/$F33</f>
        <v>0.14809715232921705</v>
      </c>
      <c r="J121" s="39">
        <f t="shared" si="46"/>
        <v>0.16088487429168641</v>
      </c>
      <c r="K121" s="39">
        <f t="shared" si="46"/>
        <v>3.7975538839605749E-2</v>
      </c>
      <c r="L121" s="39">
        <f t="shared" si="46"/>
        <v>8.6233511257609835E-2</v>
      </c>
      <c r="M121" s="39">
        <f t="shared" si="46"/>
        <v>7.5263041366206498E-2</v>
      </c>
      <c r="N121" s="39">
        <f t="shared" si="46"/>
        <v>6.5532048157247752E-2</v>
      </c>
      <c r="O121" s="39">
        <f t="shared" si="46"/>
        <v>0.10722594917042653</v>
      </c>
      <c r="P121" s="39">
        <f t="shared" si="46"/>
        <v>9.044911660264135E-2</v>
      </c>
      <c r="Q121" s="39">
        <f t="shared" si="46"/>
        <v>4.5511698246291345E-2</v>
      </c>
      <c r="R121" s="39">
        <f t="shared" si="46"/>
        <v>5.1534103103229069E-2</v>
      </c>
      <c r="S121" s="39">
        <f t="shared" si="46"/>
        <v>2.9092322839642675E-2</v>
      </c>
      <c r="T121" s="39">
        <f t="shared" si="46"/>
        <v>1.6262892451175348E-2</v>
      </c>
      <c r="U121" s="39">
        <f t="shared" si="46"/>
        <v>1.238533237169789E-2</v>
      </c>
      <c r="V121" s="39">
        <f t="shared" si="46"/>
        <v>1.159477274303795E-2</v>
      </c>
      <c r="W121" s="39">
        <f t="shared" si="46"/>
        <v>5.0824279313014371E-2</v>
      </c>
      <c r="X121" s="39">
        <f t="shared" si="46"/>
        <v>1.1133366917270167E-2</v>
      </c>
    </row>
    <row r="122" spans="4:24" x14ac:dyDescent="0.25">
      <c r="D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</row>
    <row r="123" spans="4:24" x14ac:dyDescent="0.25">
      <c r="D123" s="31" t="str">
        <f>D35</f>
        <v>Interest on treasury bonds</v>
      </c>
      <c r="E123" t="s">
        <v>291</v>
      </c>
      <c r="F123" s="39">
        <f>F35/$F35</f>
        <v>1</v>
      </c>
      <c r="I123" s="39">
        <f t="shared" ref="I123:X123" si="47">I35/$F35</f>
        <v>0.10395010378923164</v>
      </c>
      <c r="J123" s="39">
        <f t="shared" si="47"/>
        <v>0.25683489967659978</v>
      </c>
      <c r="K123" s="39">
        <f t="shared" si="47"/>
        <v>0.1191506260085461</v>
      </c>
      <c r="L123" s="39">
        <f t="shared" si="47"/>
        <v>6.1177070325503395E-2</v>
      </c>
      <c r="M123" s="39">
        <f t="shared" si="47"/>
        <v>3.9045194782202017E-2</v>
      </c>
      <c r="N123" s="39">
        <f t="shared" si="47"/>
        <v>0.13934267284238258</v>
      </c>
      <c r="O123" s="39">
        <f t="shared" si="47"/>
        <v>0.1404279214622017</v>
      </c>
      <c r="P123" s="39">
        <f t="shared" si="47"/>
        <v>8.5743230099171217E-2</v>
      </c>
      <c r="Q123" s="39">
        <f t="shared" si="47"/>
        <v>3.1380050894097844E-2</v>
      </c>
      <c r="R123" s="39">
        <f t="shared" si="47"/>
        <v>2.2948230120063706E-2</v>
      </c>
      <c r="S123" s="39">
        <f t="shared" si="47"/>
        <v>0</v>
      </c>
      <c r="T123" s="39">
        <f t="shared" si="47"/>
        <v>0</v>
      </c>
      <c r="U123" s="39">
        <f t="shared" si="47"/>
        <v>0</v>
      </c>
      <c r="V123" s="39">
        <f t="shared" si="47"/>
        <v>0</v>
      </c>
      <c r="W123" s="39">
        <f t="shared" si="47"/>
        <v>0</v>
      </c>
      <c r="X123" s="39">
        <f t="shared" si="47"/>
        <v>0</v>
      </c>
    </row>
    <row r="124" spans="4:24" x14ac:dyDescent="0.25">
      <c r="D124" s="31" t="str">
        <f>D36</f>
        <v>Discount on infrastructure Bonds</v>
      </c>
      <c r="E124" t="s">
        <v>291</v>
      </c>
      <c r="F124" s="39">
        <f>F36/$F36</f>
        <v>1</v>
      </c>
      <c r="I124" s="39">
        <f t="shared" ref="I124:X124" si="48">I36/$F36</f>
        <v>1.8359455130303466E-2</v>
      </c>
      <c r="J124" s="39">
        <f t="shared" si="48"/>
        <v>0.69867623374752863</v>
      </c>
      <c r="K124" s="39">
        <f t="shared" si="48"/>
        <v>1.8187055634844775E-2</v>
      </c>
      <c r="L124" s="39">
        <f t="shared" si="48"/>
        <v>4.2556488113163898E-2</v>
      </c>
      <c r="M124" s="39">
        <f t="shared" si="48"/>
        <v>4.1308228475159199E-2</v>
      </c>
      <c r="N124" s="39">
        <f t="shared" si="48"/>
        <v>2.0417337715335698E-2</v>
      </c>
      <c r="O124" s="39">
        <f t="shared" si="48"/>
        <v>0.13682191350346326</v>
      </c>
      <c r="P124" s="39">
        <f t="shared" si="48"/>
        <v>0</v>
      </c>
      <c r="Q124" s="39">
        <f t="shared" si="48"/>
        <v>2.3673287680201119E-2</v>
      </c>
      <c r="R124" s="39">
        <f t="shared" si="48"/>
        <v>0</v>
      </c>
      <c r="S124" s="39">
        <f t="shared" si="48"/>
        <v>0</v>
      </c>
      <c r="T124" s="39">
        <f t="shared" si="48"/>
        <v>0</v>
      </c>
      <c r="U124" s="39">
        <f t="shared" si="48"/>
        <v>0</v>
      </c>
      <c r="V124" s="39">
        <f t="shared" si="48"/>
        <v>0</v>
      </c>
      <c r="W124" s="39">
        <f t="shared" si="48"/>
        <v>0</v>
      </c>
      <c r="X124" s="39">
        <f t="shared" si="48"/>
        <v>0</v>
      </c>
    </row>
    <row r="125" spans="4:24" x14ac:dyDescent="0.25">
      <c r="D125" s="31" t="str">
        <f>D37</f>
        <v>Interest on corporate Bonds</v>
      </c>
      <c r="E125" t="s">
        <v>291</v>
      </c>
      <c r="F125" s="39">
        <f>F37/$F37</f>
        <v>1</v>
      </c>
      <c r="I125" s="39">
        <f t="shared" ref="I125:X125" si="49">I37/$F37</f>
        <v>0</v>
      </c>
      <c r="J125" s="39">
        <f t="shared" si="49"/>
        <v>0.12499971153823965</v>
      </c>
      <c r="K125" s="39">
        <f t="shared" si="49"/>
        <v>0</v>
      </c>
      <c r="L125" s="39">
        <f t="shared" si="49"/>
        <v>0</v>
      </c>
      <c r="M125" s="39">
        <f t="shared" si="49"/>
        <v>0.25000057692352073</v>
      </c>
      <c r="N125" s="39">
        <f t="shared" si="49"/>
        <v>0.12499971153823965</v>
      </c>
      <c r="O125" s="39">
        <f t="shared" si="49"/>
        <v>0.18750014423088018</v>
      </c>
      <c r="P125" s="39">
        <f t="shared" si="49"/>
        <v>0.18750014423088018</v>
      </c>
      <c r="Q125" s="39">
        <f t="shared" si="49"/>
        <v>0.12499971153823965</v>
      </c>
      <c r="R125" s="39">
        <f t="shared" si="49"/>
        <v>0</v>
      </c>
      <c r="S125" s="39">
        <f t="shared" si="49"/>
        <v>0</v>
      </c>
      <c r="T125" s="39">
        <f t="shared" si="49"/>
        <v>0</v>
      </c>
      <c r="U125" s="39">
        <f t="shared" si="49"/>
        <v>0</v>
      </c>
      <c r="V125" s="39">
        <f t="shared" si="49"/>
        <v>0</v>
      </c>
      <c r="W125" s="39">
        <f t="shared" si="49"/>
        <v>0</v>
      </c>
      <c r="X125" s="39">
        <f t="shared" si="49"/>
        <v>0</v>
      </c>
    </row>
    <row r="126" spans="4:24" s="18" customFormat="1" x14ac:dyDescent="0.25">
      <c r="D126" s="19" t="str">
        <f>D38</f>
        <v>Total Government Securities</v>
      </c>
      <c r="E126" t="s">
        <v>291</v>
      </c>
      <c r="F126" s="64">
        <f>F38/$F38</f>
        <v>1</v>
      </c>
      <c r="I126" s="39">
        <f t="shared" ref="I126:X126" si="50">I38/$F38</f>
        <v>5.6842081184327202E-2</v>
      </c>
      <c r="J126" s="39">
        <f t="shared" si="50"/>
        <v>0.20769524727082389</v>
      </c>
      <c r="K126" s="39">
        <f t="shared" si="50"/>
        <v>6.5098991082829974E-2</v>
      </c>
      <c r="L126" s="39">
        <f t="shared" si="50"/>
        <v>3.4064704651541433E-2</v>
      </c>
      <c r="M126" s="39">
        <f t="shared" si="50"/>
        <v>0.13134248351326003</v>
      </c>
      <c r="N126" s="39">
        <f t="shared" si="50"/>
        <v>0.13077876887346554</v>
      </c>
      <c r="O126" s="39">
        <f t="shared" si="50"/>
        <v>0.16094376746733263</v>
      </c>
      <c r="P126" s="39">
        <f t="shared" si="50"/>
        <v>0.12859076890575949</v>
      </c>
      <c r="Q126" s="39">
        <f t="shared" si="50"/>
        <v>7.2172714159421836E-2</v>
      </c>
      <c r="R126" s="39">
        <f t="shared" si="50"/>
        <v>1.2470472891237976E-2</v>
      </c>
      <c r="S126" s="39">
        <f t="shared" si="50"/>
        <v>0</v>
      </c>
      <c r="T126" s="39">
        <f t="shared" si="50"/>
        <v>0</v>
      </c>
      <c r="U126" s="39">
        <f t="shared" si="50"/>
        <v>0</v>
      </c>
      <c r="V126" s="39">
        <f t="shared" si="50"/>
        <v>0</v>
      </c>
      <c r="W126" s="39">
        <f t="shared" si="50"/>
        <v>0</v>
      </c>
      <c r="X126" s="39">
        <f t="shared" si="50"/>
        <v>0</v>
      </c>
    </row>
    <row r="127" spans="4:24" x14ac:dyDescent="0.25">
      <c r="D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spans="4:24" x14ac:dyDescent="0.25">
      <c r="D128" s="31" t="str">
        <f>D40</f>
        <v>Interest on fixed deposit</v>
      </c>
      <c r="E128" t="s">
        <v>291</v>
      </c>
      <c r="F128" s="39">
        <f>F40/$F40</f>
        <v>1</v>
      </c>
      <c r="I128" s="39">
        <f t="shared" ref="I128:X128" si="51">I40/$F40</f>
        <v>1.8885068636590469E-2</v>
      </c>
      <c r="J128" s="39">
        <f t="shared" si="51"/>
        <v>0.44367483288245757</v>
      </c>
      <c r="K128" s="39">
        <f t="shared" si="51"/>
        <v>0.12467575626560659</v>
      </c>
      <c r="L128" s="39">
        <f t="shared" si="51"/>
        <v>0</v>
      </c>
      <c r="M128" s="39">
        <f t="shared" si="51"/>
        <v>0.29046646029221401</v>
      </c>
      <c r="N128" s="39">
        <f t="shared" si="51"/>
        <v>0</v>
      </c>
      <c r="O128" s="39">
        <f t="shared" si="51"/>
        <v>9.0837202378127757E-2</v>
      </c>
      <c r="P128" s="39">
        <f t="shared" si="51"/>
        <v>0</v>
      </c>
      <c r="Q128" s="39">
        <f t="shared" si="51"/>
        <v>0</v>
      </c>
      <c r="R128" s="39">
        <f t="shared" si="51"/>
        <v>3.146067954500361E-2</v>
      </c>
      <c r="S128" s="39">
        <f t="shared" si="51"/>
        <v>0</v>
      </c>
      <c r="T128" s="39">
        <f t="shared" si="51"/>
        <v>0</v>
      </c>
      <c r="U128" s="39">
        <f t="shared" si="51"/>
        <v>0</v>
      </c>
      <c r="V128" s="39">
        <f t="shared" si="51"/>
        <v>0</v>
      </c>
      <c r="W128" s="39">
        <f t="shared" si="51"/>
        <v>0</v>
      </c>
      <c r="X128" s="39">
        <f t="shared" si="51"/>
        <v>0</v>
      </c>
    </row>
    <row r="129" spans="4:24" x14ac:dyDescent="0.25">
      <c r="D129" s="31" t="str">
        <f>D41</f>
        <v>Interest on call deposit</v>
      </c>
      <c r="E129" t="s">
        <v>291</v>
      </c>
      <c r="F129" s="39">
        <f>F41/$F41</f>
        <v>1</v>
      </c>
      <c r="I129" s="39">
        <f t="shared" ref="I129:X129" si="52">I41/$F41</f>
        <v>0</v>
      </c>
      <c r="J129" s="39">
        <f t="shared" si="52"/>
        <v>0.65366301858439924</v>
      </c>
      <c r="K129" s="39">
        <f t="shared" si="52"/>
        <v>0</v>
      </c>
      <c r="L129" s="39">
        <f t="shared" si="52"/>
        <v>0</v>
      </c>
      <c r="M129" s="39">
        <f t="shared" si="52"/>
        <v>0.34633599746850091</v>
      </c>
      <c r="N129" s="39">
        <f t="shared" si="52"/>
        <v>0</v>
      </c>
      <c r="O129" s="39">
        <f t="shared" si="52"/>
        <v>9.8394709985528101E-7</v>
      </c>
      <c r="P129" s="39">
        <f t="shared" si="52"/>
        <v>0</v>
      </c>
      <c r="Q129" s="39">
        <f t="shared" si="52"/>
        <v>0</v>
      </c>
      <c r="R129" s="39">
        <f t="shared" si="52"/>
        <v>0</v>
      </c>
      <c r="S129" s="39">
        <f t="shared" si="52"/>
        <v>0</v>
      </c>
      <c r="T129" s="39">
        <f t="shared" si="52"/>
        <v>0</v>
      </c>
      <c r="U129" s="39">
        <f t="shared" si="52"/>
        <v>0</v>
      </c>
      <c r="V129" s="39">
        <f t="shared" si="52"/>
        <v>0</v>
      </c>
      <c r="W129" s="39">
        <f t="shared" si="52"/>
        <v>0</v>
      </c>
      <c r="X129" s="39">
        <f t="shared" si="52"/>
        <v>0</v>
      </c>
    </row>
    <row r="130" spans="4:24" s="18" customFormat="1" x14ac:dyDescent="0.25">
      <c r="D130" s="19" t="str">
        <f>D42</f>
        <v>Total deposit with bank</v>
      </c>
      <c r="E130" t="s">
        <v>291</v>
      </c>
      <c r="F130" s="64">
        <f>F42/$F42</f>
        <v>1</v>
      </c>
      <c r="I130" s="39">
        <f t="shared" ref="I130:X130" si="53">I42/$F42</f>
        <v>1.776372573033036E-2</v>
      </c>
      <c r="J130" s="39">
        <f t="shared" si="53"/>
        <v>0.4561433479282051</v>
      </c>
      <c r="K130" s="39">
        <f t="shared" si="53"/>
        <v>0.11727285625177361</v>
      </c>
      <c r="L130" s="39">
        <f t="shared" si="53"/>
        <v>0</v>
      </c>
      <c r="M130" s="39">
        <f t="shared" si="53"/>
        <v>0.29378383818446485</v>
      </c>
      <c r="N130" s="39">
        <f t="shared" si="53"/>
        <v>0</v>
      </c>
      <c r="O130" s="39">
        <f t="shared" si="53"/>
        <v>8.5443600102742184E-2</v>
      </c>
      <c r="P130" s="39">
        <f t="shared" si="53"/>
        <v>0</v>
      </c>
      <c r="Q130" s="39">
        <f t="shared" si="53"/>
        <v>0</v>
      </c>
      <c r="R130" s="39">
        <f t="shared" si="53"/>
        <v>2.9592631802483914E-2</v>
      </c>
      <c r="S130" s="39">
        <f t="shared" si="53"/>
        <v>0</v>
      </c>
      <c r="T130" s="39">
        <f t="shared" si="53"/>
        <v>0</v>
      </c>
      <c r="U130" s="39">
        <f t="shared" si="53"/>
        <v>0</v>
      </c>
      <c r="V130" s="39">
        <f t="shared" si="53"/>
        <v>0</v>
      </c>
      <c r="W130" s="39">
        <f t="shared" si="53"/>
        <v>0</v>
      </c>
      <c r="X130" s="39">
        <f t="shared" si="53"/>
        <v>0</v>
      </c>
    </row>
    <row r="131" spans="4:24" x14ac:dyDescent="0.25">
      <c r="D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</row>
    <row r="132" spans="4:24" s="18" customFormat="1" x14ac:dyDescent="0.25">
      <c r="D132" s="19" t="str">
        <f>CONCATENATE(D44, " (Bank + Govnt)")</f>
        <v>Interest Income From Financial Investment (Bank + Govnt)</v>
      </c>
      <c r="E132" t="s">
        <v>291</v>
      </c>
      <c r="F132" s="64">
        <f>F44/$F44</f>
        <v>1</v>
      </c>
      <c r="I132" s="39">
        <f t="shared" ref="I132:X132" si="54">I44/$F44</f>
        <v>2.6261531601375964E-2</v>
      </c>
      <c r="J132" s="39">
        <f t="shared" si="54"/>
        <v>0.40211692578508779</v>
      </c>
      <c r="K132" s="39">
        <f t="shared" si="54"/>
        <v>0.10592735891451438</v>
      </c>
      <c r="L132" s="39">
        <f t="shared" si="54"/>
        <v>7.407559602247705E-3</v>
      </c>
      <c r="M132" s="39">
        <f t="shared" si="54"/>
        <v>0.25846006159794571</v>
      </c>
      <c r="N132" s="39">
        <f t="shared" si="54"/>
        <v>2.843857109722326E-2</v>
      </c>
      <c r="O132" s="39">
        <f t="shared" si="54"/>
        <v>0.10186153166721192</v>
      </c>
      <c r="P132" s="39">
        <f t="shared" si="54"/>
        <v>2.7962778327660379E-2</v>
      </c>
      <c r="Q132" s="39">
        <f t="shared" si="54"/>
        <v>1.5694358347173056E-2</v>
      </c>
      <c r="R132" s="39">
        <f t="shared" si="54"/>
        <v>2.5869323059559829E-2</v>
      </c>
      <c r="S132" s="39">
        <f t="shared" si="54"/>
        <v>0</v>
      </c>
      <c r="T132" s="39">
        <f t="shared" si="54"/>
        <v>0</v>
      </c>
      <c r="U132" s="39">
        <f t="shared" si="54"/>
        <v>0</v>
      </c>
      <c r="V132" s="39">
        <f t="shared" si="54"/>
        <v>0</v>
      </c>
      <c r="W132" s="39">
        <f t="shared" si="54"/>
        <v>0</v>
      </c>
      <c r="X132" s="39">
        <f t="shared" si="54"/>
        <v>0</v>
      </c>
    </row>
    <row r="133" spans="4:24" x14ac:dyDescent="0.25">
      <c r="D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</row>
    <row r="134" spans="4:24" x14ac:dyDescent="0.25">
      <c r="D134" s="31" t="str">
        <f t="shared" ref="D134:D139" si="55">D46</f>
        <v>Salary Processiong Charges</v>
      </c>
      <c r="E134" t="s">
        <v>291</v>
      </c>
      <c r="F134" s="39">
        <f t="shared" ref="F134:F139" si="56">F46/$F46</f>
        <v>1</v>
      </c>
      <c r="I134" s="39">
        <f t="shared" ref="I134:X134" si="57">I46/$F46</f>
        <v>0.13716133709935621</v>
      </c>
      <c r="J134" s="39">
        <f t="shared" si="57"/>
        <v>0.17765911901205192</v>
      </c>
      <c r="K134" s="39">
        <f t="shared" si="57"/>
        <v>7.5475688517866915E-2</v>
      </c>
      <c r="L134" s="39">
        <f t="shared" si="57"/>
        <v>0.10392669119830231</v>
      </c>
      <c r="M134" s="39">
        <f t="shared" si="57"/>
        <v>0.20542316042320929</v>
      </c>
      <c r="N134" s="39">
        <f t="shared" si="57"/>
        <v>2.6532914192619824E-2</v>
      </c>
      <c r="O134" s="39">
        <f t="shared" si="57"/>
        <v>0.12294162475859872</v>
      </c>
      <c r="P134" s="39">
        <f t="shared" si="57"/>
        <v>7.7341032788378367E-2</v>
      </c>
      <c r="Q134" s="39">
        <f t="shared" si="57"/>
        <v>2.2113977937994411E-2</v>
      </c>
      <c r="R134" s="39">
        <f t="shared" si="57"/>
        <v>1.1462218931211764E-2</v>
      </c>
      <c r="S134" s="39">
        <f t="shared" si="57"/>
        <v>2.084039805674866E-3</v>
      </c>
      <c r="T134" s="39">
        <f t="shared" si="57"/>
        <v>4.6955217843909023E-3</v>
      </c>
      <c r="U134" s="39">
        <f t="shared" si="57"/>
        <v>7.3713259793314707E-3</v>
      </c>
      <c r="V134" s="39">
        <f t="shared" si="57"/>
        <v>1.2888371109342107E-2</v>
      </c>
      <c r="W134" s="39">
        <f t="shared" si="57"/>
        <v>9.6296789909748205E-3</v>
      </c>
      <c r="X134" s="39">
        <f t="shared" si="57"/>
        <v>3.2932974706960847E-3</v>
      </c>
    </row>
    <row r="135" spans="4:24" x14ac:dyDescent="0.25">
      <c r="D135" s="31" t="str">
        <f t="shared" si="55"/>
        <v>Withdrawal transaction charge</v>
      </c>
      <c r="E135" t="s">
        <v>291</v>
      </c>
      <c r="F135" s="39">
        <f t="shared" si="56"/>
        <v>1</v>
      </c>
      <c r="I135" s="39">
        <f t="shared" ref="I135:X135" si="58">I47/$F47</f>
        <v>9.4407868155153563E-2</v>
      </c>
      <c r="J135" s="39">
        <f t="shared" si="58"/>
        <v>0.162977135145496</v>
      </c>
      <c r="K135" s="39">
        <f t="shared" si="58"/>
        <v>6.3191921352801772E-2</v>
      </c>
      <c r="L135" s="39">
        <f t="shared" si="58"/>
        <v>7.7224346965217669E-2</v>
      </c>
      <c r="M135" s="39">
        <f t="shared" si="58"/>
        <v>0.14363888122229046</v>
      </c>
      <c r="N135" s="39">
        <f t="shared" si="58"/>
        <v>4.5808916789668398E-2</v>
      </c>
      <c r="O135" s="39">
        <f t="shared" si="58"/>
        <v>7.1566006940147572E-2</v>
      </c>
      <c r="P135" s="39">
        <f t="shared" si="58"/>
        <v>9.7241703189821116E-2</v>
      </c>
      <c r="Q135" s="39">
        <f t="shared" si="58"/>
        <v>3.1493310670564725E-2</v>
      </c>
      <c r="R135" s="39">
        <f t="shared" si="58"/>
        <v>3.5315271564796767E-2</v>
      </c>
      <c r="S135" s="39">
        <f t="shared" si="58"/>
        <v>3.6523141437615383E-2</v>
      </c>
      <c r="T135" s="39">
        <f t="shared" si="58"/>
        <v>1.1298371302189204E-2</v>
      </c>
      <c r="U135" s="39">
        <f t="shared" si="58"/>
        <v>2.6865413525909612E-2</v>
      </c>
      <c r="V135" s="39">
        <f t="shared" si="58"/>
        <v>2.122108808615808E-2</v>
      </c>
      <c r="W135" s="39">
        <f t="shared" si="58"/>
        <v>6.3888707796676866E-2</v>
      </c>
      <c r="X135" s="39">
        <f t="shared" si="58"/>
        <v>1.7337915855492839E-2</v>
      </c>
    </row>
    <row r="136" spans="4:24" x14ac:dyDescent="0.25">
      <c r="D136" s="31" t="str">
        <f t="shared" si="55"/>
        <v>Mobile Banking cash withdrawal and notification charge</v>
      </c>
      <c r="E136" t="s">
        <v>291</v>
      </c>
      <c r="F136" s="39">
        <f t="shared" si="56"/>
        <v>1</v>
      </c>
      <c r="I136" s="39">
        <f t="shared" ref="I136:X136" si="59">I48/$F48</f>
        <v>9.1488506892006105E-2</v>
      </c>
      <c r="J136" s="39">
        <f t="shared" si="59"/>
        <v>0.11296438157197121</v>
      </c>
      <c r="K136" s="39">
        <f t="shared" si="59"/>
        <v>3.0836237659168597E-2</v>
      </c>
      <c r="L136" s="39">
        <f t="shared" si="59"/>
        <v>6.7322635468467062E-2</v>
      </c>
      <c r="M136" s="39">
        <f t="shared" si="59"/>
        <v>0.11042421678496744</v>
      </c>
      <c r="N136" s="39">
        <f t="shared" si="59"/>
        <v>4.7987921022666732E-2</v>
      </c>
      <c r="O136" s="39">
        <f t="shared" si="59"/>
        <v>0.10361586440694665</v>
      </c>
      <c r="P136" s="39">
        <f t="shared" si="59"/>
        <v>0.10344052290004062</v>
      </c>
      <c r="Q136" s="39">
        <f t="shared" si="59"/>
        <v>4.6641544548735175E-2</v>
      </c>
      <c r="R136" s="39">
        <f t="shared" si="59"/>
        <v>0.10225412356016914</v>
      </c>
      <c r="S136" s="39">
        <f t="shared" si="59"/>
        <v>2.7378960555608563E-2</v>
      </c>
      <c r="T136" s="39">
        <f t="shared" si="59"/>
        <v>3.492316083619016E-2</v>
      </c>
      <c r="U136" s="39">
        <f t="shared" si="59"/>
        <v>3.0530650838938741E-2</v>
      </c>
      <c r="V136" s="39">
        <f t="shared" si="59"/>
        <v>1.592399960193373E-2</v>
      </c>
      <c r="W136" s="39">
        <f t="shared" si="59"/>
        <v>4.3534950458987184E-2</v>
      </c>
      <c r="X136" s="39">
        <f t="shared" si="59"/>
        <v>3.073232289320289E-2</v>
      </c>
    </row>
    <row r="137" spans="4:24" x14ac:dyDescent="0.25">
      <c r="D137" s="31" t="str">
        <f t="shared" si="55"/>
        <v>Ledger fee on charging customers</v>
      </c>
      <c r="E137" t="s">
        <v>291</v>
      </c>
      <c r="F137" s="39">
        <f t="shared" si="56"/>
        <v>1</v>
      </c>
      <c r="I137" s="39">
        <f t="shared" ref="I137:X137" si="60">I49/$F49</f>
        <v>6.3305448159171579E-2</v>
      </c>
      <c r="J137" s="39">
        <f t="shared" si="60"/>
        <v>0.24232076980028031</v>
      </c>
      <c r="K137" s="39">
        <f t="shared" si="60"/>
        <v>5.1384304121338514E-2</v>
      </c>
      <c r="L137" s="39">
        <f t="shared" si="60"/>
        <v>8.1693734836472437E-2</v>
      </c>
      <c r="M137" s="39">
        <f t="shared" si="60"/>
        <v>0.19358682641376129</v>
      </c>
      <c r="N137" s="39">
        <f t="shared" si="60"/>
        <v>4.0608571572757469E-2</v>
      </c>
      <c r="O137" s="39">
        <f t="shared" si="60"/>
        <v>0.10318649846730542</v>
      </c>
      <c r="P137" s="39">
        <f t="shared" si="60"/>
        <v>0.1009054474332557</v>
      </c>
      <c r="Q137" s="39">
        <f t="shared" si="60"/>
        <v>3.1797488456716115E-2</v>
      </c>
      <c r="R137" s="39">
        <f t="shared" si="60"/>
        <v>3.0623528929736858E-2</v>
      </c>
      <c r="S137" s="39">
        <f t="shared" si="60"/>
        <v>8.2821417226500195E-3</v>
      </c>
      <c r="T137" s="39">
        <f t="shared" si="60"/>
        <v>9.4145006860952007E-3</v>
      </c>
      <c r="U137" s="39">
        <f t="shared" si="60"/>
        <v>1.328733167214931E-2</v>
      </c>
      <c r="V137" s="39">
        <f t="shared" si="60"/>
        <v>1.2263162093734027E-2</v>
      </c>
      <c r="W137" s="39">
        <f t="shared" si="60"/>
        <v>9.9061690913536515E-3</v>
      </c>
      <c r="X137" s="39">
        <f t="shared" si="60"/>
        <v>7.4340765432221127E-3</v>
      </c>
    </row>
    <row r="138" spans="4:24" x14ac:dyDescent="0.25">
      <c r="D138" s="31" t="str">
        <f t="shared" si="55"/>
        <v xml:space="preserve">Other Operating Income </v>
      </c>
      <c r="E138" t="s">
        <v>291</v>
      </c>
      <c r="F138" s="39">
        <f t="shared" si="56"/>
        <v>1</v>
      </c>
      <c r="I138" s="39">
        <f t="shared" ref="I138:X138" si="61">I50/$F50</f>
        <v>7.9503339869529149E-2</v>
      </c>
      <c r="J138" s="39">
        <f t="shared" si="61"/>
        <v>0.22928912958656436</v>
      </c>
      <c r="K138" s="39">
        <f t="shared" si="61"/>
        <v>7.4876598448363946E-2</v>
      </c>
      <c r="L138" s="39">
        <f t="shared" si="61"/>
        <v>6.2555773394177408E-2</v>
      </c>
      <c r="M138" s="39">
        <f t="shared" si="61"/>
        <v>0.14459423572247782</v>
      </c>
      <c r="N138" s="39">
        <f t="shared" si="61"/>
        <v>2.0968423702307913E-2</v>
      </c>
      <c r="O138" s="39">
        <f t="shared" si="61"/>
        <v>8.1792810475005737E-2</v>
      </c>
      <c r="P138" s="39">
        <f t="shared" si="61"/>
        <v>8.6340442353802144E-2</v>
      </c>
      <c r="Q138" s="39">
        <f t="shared" si="61"/>
        <v>2.7325618299025047E-2</v>
      </c>
      <c r="R138" s="39">
        <f t="shared" si="61"/>
        <v>2.987194210892816E-2</v>
      </c>
      <c r="S138" s="39">
        <f t="shared" si="61"/>
        <v>4.3410875205124745E-2</v>
      </c>
      <c r="T138" s="39">
        <f t="shared" si="61"/>
        <v>1.9741992434109609E-2</v>
      </c>
      <c r="U138" s="39">
        <f t="shared" si="61"/>
        <v>2.0492716321426505E-2</v>
      </c>
      <c r="V138" s="39">
        <f t="shared" si="61"/>
        <v>1.1771103189958113E-2</v>
      </c>
      <c r="W138" s="39">
        <f t="shared" si="61"/>
        <v>5.1192819436086646E-2</v>
      </c>
      <c r="X138" s="39">
        <f t="shared" si="61"/>
        <v>1.6272179453112701E-2</v>
      </c>
    </row>
    <row r="139" spans="4:24" s="18" customFormat="1" x14ac:dyDescent="0.25">
      <c r="D139" s="19" t="str">
        <f t="shared" si="55"/>
        <v>Total other operating income</v>
      </c>
      <c r="E139" t="s">
        <v>291</v>
      </c>
      <c r="F139" s="64">
        <f t="shared" si="56"/>
        <v>1</v>
      </c>
      <c r="I139" s="39">
        <f t="shared" ref="I139:X139" si="62">I51/$F51</f>
        <v>8.8370581907465759E-2</v>
      </c>
      <c r="J139" s="39">
        <f t="shared" si="62"/>
        <v>0.18621969055574827</v>
      </c>
      <c r="K139" s="39">
        <f t="shared" si="62"/>
        <v>5.9600021149452405E-2</v>
      </c>
      <c r="L139" s="39">
        <f t="shared" si="62"/>
        <v>7.4191673366866828E-2</v>
      </c>
      <c r="M139" s="39">
        <f t="shared" si="62"/>
        <v>0.15086739059037696</v>
      </c>
      <c r="N139" s="39">
        <f t="shared" si="62"/>
        <v>3.6681313605574473E-2</v>
      </c>
      <c r="O139" s="39">
        <f t="shared" si="62"/>
        <v>8.993308391067345E-2</v>
      </c>
      <c r="P139" s="39">
        <f t="shared" si="62"/>
        <v>9.4182625167821832E-2</v>
      </c>
      <c r="Q139" s="39">
        <f t="shared" si="62"/>
        <v>3.2406297072617822E-2</v>
      </c>
      <c r="R139" s="39">
        <f t="shared" si="62"/>
        <v>4.3592032014541489E-2</v>
      </c>
      <c r="S139" s="39">
        <f t="shared" si="62"/>
        <v>2.9326540692735638E-2</v>
      </c>
      <c r="T139" s="39">
        <f t="shared" si="62"/>
        <v>1.7284670700948291E-2</v>
      </c>
      <c r="U139" s="39">
        <f t="shared" si="62"/>
        <v>2.192052987159002E-2</v>
      </c>
      <c r="V139" s="39">
        <f t="shared" si="62"/>
        <v>1.5403114354125388E-2</v>
      </c>
      <c r="W139" s="39">
        <f t="shared" si="62"/>
        <v>4.3235764979539543E-2</v>
      </c>
      <c r="X139" s="39">
        <f t="shared" si="62"/>
        <v>1.6784670059921826E-2</v>
      </c>
    </row>
    <row r="140" spans="4:24" x14ac:dyDescent="0.25">
      <c r="D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</row>
    <row r="141" spans="4:24" x14ac:dyDescent="0.25">
      <c r="D141" s="31" t="str">
        <f>D53</f>
        <v>Other Income</v>
      </c>
      <c r="E141" t="s">
        <v>291</v>
      </c>
      <c r="F141" s="39">
        <v>0</v>
      </c>
      <c r="I141" s="39">
        <v>0</v>
      </c>
      <c r="J141" s="39">
        <v>0</v>
      </c>
      <c r="K141" s="39">
        <v>0</v>
      </c>
      <c r="L141" s="39">
        <v>0</v>
      </c>
      <c r="M141" s="39">
        <v>0</v>
      </c>
      <c r="N141" s="39">
        <v>0</v>
      </c>
      <c r="O141" s="39">
        <v>0</v>
      </c>
      <c r="P141" s="39">
        <v>0</v>
      </c>
      <c r="Q141" s="39">
        <v>0</v>
      </c>
      <c r="R141" s="39">
        <v>0</v>
      </c>
      <c r="S141" s="39">
        <v>0</v>
      </c>
      <c r="T141" s="39">
        <v>0</v>
      </c>
      <c r="U141" s="39">
        <v>0</v>
      </c>
      <c r="V141" s="39">
        <v>0</v>
      </c>
      <c r="W141" s="39">
        <v>0</v>
      </c>
      <c r="X141" s="39">
        <v>0</v>
      </c>
    </row>
    <row r="142" spans="4:24" x14ac:dyDescent="0.25"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</row>
    <row r="143" spans="4:24" s="18" customFormat="1" x14ac:dyDescent="0.25">
      <c r="D143" s="63" t="str">
        <f>D55</f>
        <v>Total Revenue</v>
      </c>
      <c r="E143" s="63" t="s">
        <v>291</v>
      </c>
      <c r="F143" s="84">
        <f>F55/$F55</f>
        <v>1</v>
      </c>
      <c r="G143" s="11"/>
      <c r="H143" s="11"/>
      <c r="I143" s="39">
        <f t="shared" ref="I143:X143" si="63">I55/$F55</f>
        <v>0.17863751522924484</v>
      </c>
      <c r="J143" s="39">
        <f t="shared" si="63"/>
        <v>0.20069245966421798</v>
      </c>
      <c r="K143" s="39">
        <f t="shared" si="63"/>
        <v>4.0109880012606187E-2</v>
      </c>
      <c r="L143" s="39">
        <f t="shared" si="63"/>
        <v>5.1333584730443367E-2</v>
      </c>
      <c r="M143" s="39">
        <f t="shared" si="63"/>
        <v>0.11482864185233006</v>
      </c>
      <c r="N143" s="39">
        <f t="shared" si="63"/>
        <v>4.7808606161555488E-2</v>
      </c>
      <c r="O143" s="39">
        <f t="shared" si="63"/>
        <v>9.7910366490741002E-2</v>
      </c>
      <c r="P143" s="39">
        <f t="shared" si="63"/>
        <v>5.7980820566100141E-2</v>
      </c>
      <c r="Q143" s="39">
        <f t="shared" si="63"/>
        <v>4.2765797591659736E-2</v>
      </c>
      <c r="R143" s="39">
        <f t="shared" si="63"/>
        <v>6.3842115886690878E-2</v>
      </c>
      <c r="S143" s="39">
        <f t="shared" si="63"/>
        <v>2.2836965659510784E-2</v>
      </c>
      <c r="T143" s="39">
        <f t="shared" si="63"/>
        <v>1.6468255973423173E-2</v>
      </c>
      <c r="U143" s="39">
        <f t="shared" si="63"/>
        <v>1.1821815204053543E-2</v>
      </c>
      <c r="V143" s="39">
        <f t="shared" si="63"/>
        <v>1.1541179160588434E-2</v>
      </c>
      <c r="W143" s="39">
        <f t="shared" si="63"/>
        <v>3.2535633022766755E-2</v>
      </c>
      <c r="X143" s="39">
        <f t="shared" si="63"/>
        <v>8.8863627940676416E-3</v>
      </c>
    </row>
    <row r="144" spans="4:24" x14ac:dyDescent="0.25"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</row>
    <row r="145" spans="4:24" x14ac:dyDescent="0.25">
      <c r="D145" s="31" t="str">
        <f>D57</f>
        <v>Interest on savings</v>
      </c>
      <c r="E145" t="s">
        <v>291</v>
      </c>
      <c r="F145" s="39">
        <f>F57/$F57</f>
        <v>1</v>
      </c>
      <c r="I145" s="39">
        <f t="shared" ref="I145:X145" si="64">I57/$F57</f>
        <v>0.17276083932312586</v>
      </c>
      <c r="J145" s="39">
        <f t="shared" si="64"/>
        <v>0.11997605879995697</v>
      </c>
      <c r="K145" s="39">
        <f t="shared" si="64"/>
        <v>2.5445403615619231E-2</v>
      </c>
      <c r="L145" s="39">
        <f t="shared" si="64"/>
        <v>7.199743696181396E-2</v>
      </c>
      <c r="M145" s="39">
        <f t="shared" si="64"/>
        <v>0.14202319313380965</v>
      </c>
      <c r="N145" s="39">
        <f t="shared" si="64"/>
        <v>4.1732458758163844E-2</v>
      </c>
      <c r="O145" s="39">
        <f t="shared" si="64"/>
        <v>0.10682865868951837</v>
      </c>
      <c r="P145" s="39">
        <f t="shared" si="64"/>
        <v>0.11393467692600742</v>
      </c>
      <c r="Q145" s="39">
        <f t="shared" si="64"/>
        <v>6.3239301356454072E-2</v>
      </c>
      <c r="R145" s="39">
        <f t="shared" si="64"/>
        <v>6.3818973105812346E-2</v>
      </c>
      <c r="S145" s="39">
        <f t="shared" si="64"/>
        <v>3.6297847422726991E-3</v>
      </c>
      <c r="T145" s="39">
        <f t="shared" si="64"/>
        <v>2.5830804053112191E-2</v>
      </c>
      <c r="U145" s="39">
        <f t="shared" si="64"/>
        <v>1.0457031501700605E-2</v>
      </c>
      <c r="V145" s="39">
        <f t="shared" si="64"/>
        <v>1.4331501161505035E-2</v>
      </c>
      <c r="W145" s="39">
        <f t="shared" si="64"/>
        <v>1.7307752240668876E-2</v>
      </c>
      <c r="X145" s="39">
        <f t="shared" si="64"/>
        <v>6.6861256304588746E-3</v>
      </c>
    </row>
    <row r="146" spans="4:24" x14ac:dyDescent="0.25">
      <c r="D146" s="31" t="str">
        <f>D58</f>
        <v xml:space="preserve">Interest on fixed deposits </v>
      </c>
      <c r="E146" t="s">
        <v>291</v>
      </c>
      <c r="F146" s="39">
        <f>F58/$F58</f>
        <v>1</v>
      </c>
      <c r="I146" s="39">
        <f t="shared" ref="I146:X146" si="65">I58/$F58</f>
        <v>9.4348149329132866E-2</v>
      </c>
      <c r="J146" s="39">
        <f t="shared" si="65"/>
        <v>3.1028297374539517E-2</v>
      </c>
      <c r="K146" s="39">
        <f t="shared" si="65"/>
        <v>2.2673936357901967E-2</v>
      </c>
      <c r="L146" s="39">
        <f t="shared" si="65"/>
        <v>1.5407061958944422E-2</v>
      </c>
      <c r="M146" s="39">
        <f t="shared" si="65"/>
        <v>0.56990505195842422</v>
      </c>
      <c r="N146" s="39">
        <f t="shared" si="65"/>
        <v>0.11508757638086482</v>
      </c>
      <c r="O146" s="39">
        <f t="shared" si="65"/>
        <v>5.2786198553535758E-2</v>
      </c>
      <c r="P146" s="39">
        <f t="shared" si="65"/>
        <v>5.3830869258794586E-2</v>
      </c>
      <c r="Q146" s="39">
        <f t="shared" si="65"/>
        <v>1.3643440724279983E-2</v>
      </c>
      <c r="R146" s="39">
        <f t="shared" si="65"/>
        <v>0</v>
      </c>
      <c r="S146" s="39">
        <f t="shared" si="65"/>
        <v>0</v>
      </c>
      <c r="T146" s="39">
        <f t="shared" si="65"/>
        <v>2.7743208936206732E-2</v>
      </c>
      <c r="U146" s="39">
        <f t="shared" si="65"/>
        <v>0</v>
      </c>
      <c r="V146" s="39">
        <f t="shared" si="65"/>
        <v>3.4425495899343544E-3</v>
      </c>
      <c r="W146" s="39">
        <f t="shared" si="65"/>
        <v>0</v>
      </c>
      <c r="X146" s="39">
        <f t="shared" si="65"/>
        <v>1.0365957744074644E-4</v>
      </c>
    </row>
    <row r="147" spans="4:24" x14ac:dyDescent="0.25">
      <c r="D147" s="31" t="str">
        <f>D59</f>
        <v>Interest on Diaspora jijenge savings</v>
      </c>
      <c r="E147" t="s">
        <v>291</v>
      </c>
      <c r="F147" s="39">
        <f>F59/$F59</f>
        <v>1</v>
      </c>
      <c r="I147" s="39">
        <f t="shared" ref="I147:X147" si="66">I59/$F59</f>
        <v>0.89852999275882661</v>
      </c>
      <c r="J147" s="39">
        <f t="shared" si="66"/>
        <v>2.436490683639967E-3</v>
      </c>
      <c r="K147" s="39">
        <f t="shared" si="66"/>
        <v>0</v>
      </c>
      <c r="L147" s="39">
        <f t="shared" si="66"/>
        <v>0</v>
      </c>
      <c r="M147" s="39">
        <f t="shared" si="66"/>
        <v>9.9033516557533369E-2</v>
      </c>
      <c r="N147" s="39">
        <f t="shared" si="66"/>
        <v>0</v>
      </c>
      <c r="O147" s="39">
        <f t="shared" si="66"/>
        <v>0</v>
      </c>
      <c r="P147" s="39">
        <f t="shared" si="66"/>
        <v>0</v>
      </c>
      <c r="Q147" s="39">
        <f t="shared" si="66"/>
        <v>0</v>
      </c>
      <c r="R147" s="39">
        <f t="shared" si="66"/>
        <v>0</v>
      </c>
      <c r="S147" s="39">
        <f t="shared" si="66"/>
        <v>0</v>
      </c>
      <c r="T147" s="39">
        <f t="shared" si="66"/>
        <v>0</v>
      </c>
      <c r="U147" s="39">
        <f t="shared" si="66"/>
        <v>0</v>
      </c>
      <c r="V147" s="39">
        <f t="shared" si="66"/>
        <v>0</v>
      </c>
      <c r="W147" s="39">
        <f t="shared" si="66"/>
        <v>0</v>
      </c>
      <c r="X147" s="39">
        <f t="shared" si="66"/>
        <v>0</v>
      </c>
    </row>
    <row r="148" spans="4:24" x14ac:dyDescent="0.25">
      <c r="D148" s="19" t="str">
        <f>D60</f>
        <v>Total interest expense on deposits</v>
      </c>
      <c r="E148" t="s">
        <v>291</v>
      </c>
      <c r="F148" s="64">
        <f>F60/$F60</f>
        <v>1</v>
      </c>
      <c r="G148" s="18"/>
      <c r="H148" s="18"/>
      <c r="I148" s="39">
        <f t="shared" ref="I148:X148" si="67">I60/$F60</f>
        <v>0.17799113284507498</v>
      </c>
      <c r="J148" s="39">
        <f t="shared" si="67"/>
        <v>0.11392610167869184</v>
      </c>
      <c r="K148" s="39">
        <f t="shared" si="67"/>
        <v>2.4979451669879148E-2</v>
      </c>
      <c r="L148" s="39">
        <f t="shared" si="67"/>
        <v>6.8183785512262632E-2</v>
      </c>
      <c r="M148" s="39">
        <f t="shared" si="67"/>
        <v>0.1633772364955145</v>
      </c>
      <c r="N148" s="39">
        <f t="shared" si="67"/>
        <v>4.4955683714081707E-2</v>
      </c>
      <c r="O148" s="39">
        <f t="shared" si="67"/>
        <v>0.10270178886959729</v>
      </c>
      <c r="P148" s="39">
        <f t="shared" si="67"/>
        <v>0.10940704304753505</v>
      </c>
      <c r="Q148" s="39">
        <f t="shared" si="67"/>
        <v>5.9895221695430115E-2</v>
      </c>
      <c r="R148" s="39">
        <f t="shared" si="67"/>
        <v>5.9739485060498067E-2</v>
      </c>
      <c r="S148" s="39">
        <f t="shared" si="67"/>
        <v>3.3977587045203451E-3</v>
      </c>
      <c r="T148" s="39">
        <f t="shared" si="67"/>
        <v>2.5599692379294218E-2</v>
      </c>
      <c r="U148" s="39">
        <f t="shared" si="67"/>
        <v>9.7885886715420416E-3</v>
      </c>
      <c r="V148" s="39">
        <f t="shared" si="67"/>
        <v>1.3591601937045767E-2</v>
      </c>
      <c r="W148" s="39">
        <f t="shared" si="67"/>
        <v>1.6201392095387256E-2</v>
      </c>
      <c r="X148" s="39">
        <f t="shared" si="67"/>
        <v>6.2640356236450334E-3</v>
      </c>
    </row>
    <row r="149" spans="4:24" x14ac:dyDescent="0.25"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</row>
    <row r="150" spans="4:24" x14ac:dyDescent="0.25">
      <c r="D150" s="31" t="str">
        <f>D62</f>
        <v>Mobile deposit charges paybill</v>
      </c>
      <c r="E150" t="s">
        <v>291</v>
      </c>
      <c r="F150" s="39">
        <f>F62/$F62</f>
        <v>1</v>
      </c>
      <c r="I150" s="39">
        <f t="shared" ref="I150:X150" si="68">I62/$F62</f>
        <v>9.1532551009605043E-2</v>
      </c>
      <c r="J150" s="39">
        <f t="shared" si="68"/>
        <v>7.1036152022862203E-2</v>
      </c>
      <c r="K150" s="39">
        <f t="shared" si="68"/>
        <v>2.2403802076175938E-2</v>
      </c>
      <c r="L150" s="39">
        <f t="shared" si="68"/>
        <v>6.9242826538481489E-2</v>
      </c>
      <c r="M150" s="39">
        <f t="shared" si="68"/>
        <v>8.5694987488395047E-2</v>
      </c>
      <c r="N150" s="39">
        <f t="shared" si="68"/>
        <v>6.9700687173947562E-2</v>
      </c>
      <c r="O150" s="39">
        <f t="shared" si="68"/>
        <v>0.10457697406918465</v>
      </c>
      <c r="P150" s="39">
        <f t="shared" si="68"/>
        <v>0.10800832994489715</v>
      </c>
      <c r="Q150" s="39">
        <f t="shared" si="68"/>
        <v>6.6680320719474967E-2</v>
      </c>
      <c r="R150" s="39">
        <f t="shared" si="68"/>
        <v>9.0074801533691781E-2</v>
      </c>
      <c r="S150" s="39">
        <f t="shared" si="68"/>
        <v>3.7887260869037903E-2</v>
      </c>
      <c r="T150" s="39">
        <f t="shared" si="68"/>
        <v>3.5151769265231711E-2</v>
      </c>
      <c r="U150" s="39">
        <f t="shared" si="68"/>
        <v>4.1895479198436579E-2</v>
      </c>
      <c r="V150" s="39">
        <f t="shared" si="68"/>
        <v>3.0257739700438227E-2</v>
      </c>
      <c r="W150" s="39">
        <f t="shared" si="68"/>
        <v>4.6446728813276481E-2</v>
      </c>
      <c r="X150" s="39">
        <f t="shared" si="68"/>
        <v>2.9409589576863276E-2</v>
      </c>
    </row>
    <row r="151" spans="4:24" x14ac:dyDescent="0.25">
      <c r="D151" s="31" t="str">
        <f>D63</f>
        <v>loss impairement of financial assets</v>
      </c>
      <c r="E151" t="s">
        <v>291</v>
      </c>
      <c r="F151" s="39">
        <f>F63/$F63</f>
        <v>1</v>
      </c>
      <c r="I151" s="39">
        <f t="shared" ref="I151:X151" si="69">I63/$F63</f>
        <v>0</v>
      </c>
      <c r="J151" s="39">
        <f t="shared" si="69"/>
        <v>0.34442762089570689</v>
      </c>
      <c r="K151" s="39">
        <f t="shared" si="69"/>
        <v>0.65557237910429311</v>
      </c>
      <c r="L151" s="39">
        <f t="shared" si="69"/>
        <v>0</v>
      </c>
      <c r="M151" s="39">
        <f t="shared" si="69"/>
        <v>0</v>
      </c>
      <c r="N151" s="39">
        <f t="shared" si="69"/>
        <v>0</v>
      </c>
      <c r="O151" s="39">
        <f t="shared" si="69"/>
        <v>0</v>
      </c>
      <c r="P151" s="39">
        <f t="shared" si="69"/>
        <v>0</v>
      </c>
      <c r="Q151" s="39">
        <f t="shared" si="69"/>
        <v>0</v>
      </c>
      <c r="R151" s="39">
        <f t="shared" si="69"/>
        <v>0</v>
      </c>
      <c r="S151" s="39">
        <f t="shared" si="69"/>
        <v>0</v>
      </c>
      <c r="T151" s="39">
        <f t="shared" si="69"/>
        <v>0</v>
      </c>
      <c r="U151" s="39">
        <f t="shared" si="69"/>
        <v>0</v>
      </c>
      <c r="V151" s="39">
        <f t="shared" si="69"/>
        <v>0</v>
      </c>
      <c r="W151" s="39">
        <f t="shared" si="69"/>
        <v>0</v>
      </c>
      <c r="X151" s="39">
        <f t="shared" si="69"/>
        <v>0</v>
      </c>
    </row>
    <row r="152" spans="4:24" x14ac:dyDescent="0.25">
      <c r="D152" s="31" t="str">
        <f>D64</f>
        <v>Appraisal fee</v>
      </c>
      <c r="E152" t="s">
        <v>291</v>
      </c>
      <c r="F152" s="39">
        <f>F64/$F64</f>
        <v>1</v>
      </c>
      <c r="I152" s="39">
        <f t="shared" ref="I152:X152" si="70">I64/$F64</f>
        <v>0.13172035068480695</v>
      </c>
      <c r="J152" s="39">
        <f t="shared" si="70"/>
        <v>5.8150779214701714E-2</v>
      </c>
      <c r="K152" s="39">
        <f t="shared" si="70"/>
        <v>6.1263067173608909E-3</v>
      </c>
      <c r="L152" s="39">
        <f t="shared" si="70"/>
        <v>9.2630733003186971E-2</v>
      </c>
      <c r="M152" s="39">
        <f t="shared" si="70"/>
        <v>6.2951257871965552E-2</v>
      </c>
      <c r="N152" s="39">
        <f t="shared" si="70"/>
        <v>7.3931651957256039E-2</v>
      </c>
      <c r="O152" s="39">
        <f t="shared" si="70"/>
        <v>0.18261053541760239</v>
      </c>
      <c r="P152" s="39">
        <f t="shared" si="70"/>
        <v>8.2584420317120918E-2</v>
      </c>
      <c r="Q152" s="39">
        <f t="shared" si="70"/>
        <v>4.8182058083546635E-2</v>
      </c>
      <c r="R152" s="39">
        <f t="shared" si="70"/>
        <v>9.568884794921087E-2</v>
      </c>
      <c r="S152" s="39">
        <f t="shared" si="70"/>
        <v>1.74261361650771E-2</v>
      </c>
      <c r="T152" s="39">
        <f t="shared" si="70"/>
        <v>1.8672760378213082E-2</v>
      </c>
      <c r="U152" s="39">
        <f t="shared" si="70"/>
        <v>2.1038879576334792E-2</v>
      </c>
      <c r="V152" s="39">
        <f t="shared" si="70"/>
        <v>6.1643487482829593E-2</v>
      </c>
      <c r="W152" s="39">
        <f t="shared" si="70"/>
        <v>2.7342014424290212E-2</v>
      </c>
      <c r="X152" s="39">
        <f t="shared" si="70"/>
        <v>1.9299780756496299E-2</v>
      </c>
    </row>
    <row r="153" spans="4:24" x14ac:dyDescent="0.25">
      <c r="D153" s="31" t="str">
        <f>D65</f>
        <v>Other Expenses</v>
      </c>
      <c r="E153" t="s">
        <v>291</v>
      </c>
      <c r="F153" s="39">
        <f>F65/$F65</f>
        <v>1</v>
      </c>
      <c r="I153" s="39">
        <f t="shared" ref="I153:X153" si="71">I65/$F65</f>
        <v>-3.0560616646346196E-3</v>
      </c>
      <c r="J153" s="39">
        <f t="shared" si="71"/>
        <v>0.16712673123553023</v>
      </c>
      <c r="K153" s="39">
        <f t="shared" si="71"/>
        <v>3.0745555753432789E-2</v>
      </c>
      <c r="L153" s="39">
        <f t="shared" si="71"/>
        <v>0.10787657940280651</v>
      </c>
      <c r="M153" s="39">
        <f t="shared" si="71"/>
        <v>0.31696964715444925</v>
      </c>
      <c r="N153" s="39">
        <f t="shared" si="71"/>
        <v>7.854204054047883E-4</v>
      </c>
      <c r="O153" s="39">
        <f t="shared" si="71"/>
        <v>0.15759323442515902</v>
      </c>
      <c r="P153" s="39">
        <f t="shared" si="71"/>
        <v>2.6325282774177935E-3</v>
      </c>
      <c r="Q153" s="39">
        <f t="shared" si="71"/>
        <v>1.1910306816261856E-2</v>
      </c>
      <c r="R153" s="39">
        <f t="shared" si="71"/>
        <v>1.7638852738240385E-2</v>
      </c>
      <c r="S153" s="39">
        <f t="shared" si="71"/>
        <v>0.18325182313428406</v>
      </c>
      <c r="T153" s="39">
        <f t="shared" si="71"/>
        <v>4.6120616829002101E-3</v>
      </c>
      <c r="U153" s="39">
        <f t="shared" si="71"/>
        <v>-2.0112698695380175E-2</v>
      </c>
      <c r="V153" s="39">
        <f t="shared" si="71"/>
        <v>2.4521555680370424E-3</v>
      </c>
      <c r="W153" s="39">
        <f t="shared" si="71"/>
        <v>9.7264271134430182E-3</v>
      </c>
      <c r="X153" s="39">
        <f t="shared" si="71"/>
        <v>9.8474366526478257E-3</v>
      </c>
    </row>
    <row r="154" spans="4:24" s="18" customFormat="1" x14ac:dyDescent="0.25">
      <c r="D154" s="19" t="str">
        <f>D66</f>
        <v xml:space="preserve">Total fees and commission expenses </v>
      </c>
      <c r="E154" t="s">
        <v>291</v>
      </c>
      <c r="F154" s="64">
        <f>F66/$F66</f>
        <v>1</v>
      </c>
      <c r="I154" s="39">
        <f t="shared" ref="I154:X154" si="72">I66/$F66</f>
        <v>7.3819383498571881E-2</v>
      </c>
      <c r="J154" s="39">
        <f t="shared" si="72"/>
        <v>0.16708548164021686</v>
      </c>
      <c r="K154" s="39">
        <f t="shared" si="72"/>
        <v>0.24742669625511265</v>
      </c>
      <c r="L154" s="39">
        <f t="shared" si="72"/>
        <v>5.4503344453180551E-2</v>
      </c>
      <c r="M154" s="39">
        <f t="shared" si="72"/>
        <v>4.8057684569857588E-2</v>
      </c>
      <c r="N154" s="39">
        <f t="shared" si="72"/>
        <v>4.494605944077934E-2</v>
      </c>
      <c r="O154" s="39">
        <f t="shared" si="72"/>
        <v>0.10055844321285869</v>
      </c>
      <c r="P154" s="39">
        <f t="shared" si="72"/>
        <v>5.5950303916302874E-2</v>
      </c>
      <c r="Q154" s="39">
        <f t="shared" si="72"/>
        <v>3.3495145471578697E-2</v>
      </c>
      <c r="R154" s="39">
        <f t="shared" si="72"/>
        <v>5.8398763788441381E-2</v>
      </c>
      <c r="S154" s="39">
        <f t="shared" si="72"/>
        <v>1.7436105347737586E-2</v>
      </c>
      <c r="T154" s="39">
        <f t="shared" si="72"/>
        <v>1.4746301117144077E-2</v>
      </c>
      <c r="U154" s="39">
        <f t="shared" si="72"/>
        <v>1.6665660560823282E-2</v>
      </c>
      <c r="V154" s="39">
        <f t="shared" si="72"/>
        <v>3.2220154887501656E-2</v>
      </c>
      <c r="W154" s="39">
        <f t="shared" si="72"/>
        <v>2.0684752236248199E-2</v>
      </c>
      <c r="X154" s="39">
        <f t="shared" si="72"/>
        <v>1.4005719603644676E-2</v>
      </c>
    </row>
    <row r="155" spans="4:24" x14ac:dyDescent="0.25"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</row>
    <row r="156" spans="4:24" x14ac:dyDescent="0.25">
      <c r="D156" s="31" t="str">
        <f>D68</f>
        <v>Other Expenses</v>
      </c>
      <c r="E156" t="s">
        <v>291</v>
      </c>
      <c r="F156" s="39">
        <f>F68/$F68</f>
        <v>1</v>
      </c>
      <c r="I156" s="39">
        <f t="shared" ref="I156:X156" si="73">I68/$F68</f>
        <v>2.2331981225464205E-3</v>
      </c>
      <c r="J156" s="39">
        <f t="shared" si="73"/>
        <v>9.4225289205686694E-2</v>
      </c>
      <c r="K156" s="39">
        <f t="shared" si="73"/>
        <v>0</v>
      </c>
      <c r="L156" s="39">
        <f t="shared" si="73"/>
        <v>0</v>
      </c>
      <c r="M156" s="39">
        <f t="shared" si="73"/>
        <v>0</v>
      </c>
      <c r="N156" s="39">
        <f t="shared" si="73"/>
        <v>0</v>
      </c>
      <c r="O156" s="39">
        <f t="shared" si="73"/>
        <v>0.62109027083077584</v>
      </c>
      <c r="P156" s="39">
        <f t="shared" si="73"/>
        <v>1.9589457215319476E-3</v>
      </c>
      <c r="Q156" s="39">
        <f t="shared" si="73"/>
        <v>0</v>
      </c>
      <c r="R156" s="39">
        <f t="shared" si="73"/>
        <v>0.27265651323333134</v>
      </c>
      <c r="S156" s="39">
        <f t="shared" si="73"/>
        <v>5.2238552574185278E-3</v>
      </c>
      <c r="T156" s="39">
        <f t="shared" si="73"/>
        <v>0</v>
      </c>
      <c r="U156" s="39">
        <f t="shared" si="73"/>
        <v>2.6119276287092639E-3</v>
      </c>
      <c r="V156" s="39">
        <f t="shared" si="73"/>
        <v>0</v>
      </c>
      <c r="W156" s="39">
        <f t="shared" si="73"/>
        <v>0</v>
      </c>
      <c r="X156" s="39">
        <f t="shared" si="73"/>
        <v>0</v>
      </c>
    </row>
    <row r="157" spans="4:24" x14ac:dyDescent="0.25"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</row>
    <row r="158" spans="4:24" s="18" customFormat="1" x14ac:dyDescent="0.25">
      <c r="D158" s="19" t="str">
        <f>D70</f>
        <v>Total Provision for Loan Losses</v>
      </c>
      <c r="E158" t="s">
        <v>291</v>
      </c>
      <c r="F158" s="64">
        <f>F70/$F70</f>
        <v>1</v>
      </c>
      <c r="I158" s="39">
        <f t="shared" ref="I158:X158" si="74">I70/$F70</f>
        <v>0.17182581805969363</v>
      </c>
      <c r="J158" s="39">
        <f t="shared" si="74"/>
        <v>2.5406186927413324E-2</v>
      </c>
      <c r="K158" s="39">
        <f t="shared" si="74"/>
        <v>0.16480126167927786</v>
      </c>
      <c r="L158" s="39">
        <f t="shared" si="74"/>
        <v>7.9758467376633266E-2</v>
      </c>
      <c r="M158" s="39">
        <f t="shared" si="74"/>
        <v>9.5875104178838128E-2</v>
      </c>
      <c r="N158" s="39">
        <f t="shared" si="74"/>
        <v>3.3251379837091553E-2</v>
      </c>
      <c r="O158" s="39">
        <f t="shared" si="74"/>
        <v>7.4366285363918882E-3</v>
      </c>
      <c r="P158" s="39">
        <f t="shared" si="74"/>
        <v>-3.331320912250213E-2</v>
      </c>
      <c r="Q158" s="39">
        <f t="shared" si="74"/>
        <v>0.39415772515935532</v>
      </c>
      <c r="R158" s="39">
        <f t="shared" si="74"/>
        <v>-1.2212013118147236E-2</v>
      </c>
      <c r="S158" s="39">
        <f t="shared" si="74"/>
        <v>-4.3228381521436494E-2</v>
      </c>
      <c r="T158" s="39">
        <f t="shared" si="74"/>
        <v>1.0679518247033233E-2</v>
      </c>
      <c r="U158" s="39">
        <f t="shared" si="74"/>
        <v>8.1741952329565562E-2</v>
      </c>
      <c r="V158" s="39">
        <f t="shared" si="74"/>
        <v>2.3020488534064566E-2</v>
      </c>
      <c r="W158" s="39">
        <f t="shared" si="74"/>
        <v>-9.6691475982830406E-3</v>
      </c>
      <c r="X158" s="39">
        <f t="shared" si="74"/>
        <v>1.046822049501054E-2</v>
      </c>
    </row>
    <row r="159" spans="4:24" x14ac:dyDescent="0.25">
      <c r="D159" s="31"/>
      <c r="E159" s="31"/>
      <c r="F159" s="31"/>
      <c r="G159" s="31"/>
      <c r="H159" s="31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</row>
    <row r="160" spans="4:24" x14ac:dyDescent="0.25">
      <c r="D160" s="31" t="str">
        <f>D72</f>
        <v>Staff salaries</v>
      </c>
      <c r="E160" t="s">
        <v>291</v>
      </c>
      <c r="F160" s="39">
        <f>F72/$F72</f>
        <v>1</v>
      </c>
      <c r="I160" s="39">
        <f t="shared" ref="I160:X160" si="75">I72/$F72</f>
        <v>7.3854761895430929E-2</v>
      </c>
      <c r="J160" s="39">
        <f t="shared" si="75"/>
        <v>9.5543682129199337E-2</v>
      </c>
      <c r="K160" s="39">
        <f t="shared" si="75"/>
        <v>5.6975777259436255E-2</v>
      </c>
      <c r="L160" s="39">
        <f t="shared" si="75"/>
        <v>7.8049302168144583E-2</v>
      </c>
      <c r="M160" s="39">
        <f t="shared" si="75"/>
        <v>0.13239103148405593</v>
      </c>
      <c r="N160" s="39">
        <f t="shared" si="75"/>
        <v>6.3338458075687193E-2</v>
      </c>
      <c r="O160" s="39">
        <f t="shared" si="75"/>
        <v>0.10521226820735656</v>
      </c>
      <c r="P160" s="39">
        <f t="shared" si="75"/>
        <v>7.2577034056945128E-2</v>
      </c>
      <c r="Q160" s="39">
        <f t="shared" si="75"/>
        <v>5.9321465015603508E-2</v>
      </c>
      <c r="R160" s="39">
        <f t="shared" si="75"/>
        <v>5.9999564464910192E-2</v>
      </c>
      <c r="S160" s="39">
        <f t="shared" si="75"/>
        <v>3.9950557070792994E-2</v>
      </c>
      <c r="T160" s="39">
        <f t="shared" si="75"/>
        <v>3.3776725966371761E-2</v>
      </c>
      <c r="U160" s="39">
        <f t="shared" si="75"/>
        <v>3.393862744954651E-2</v>
      </c>
      <c r="V160" s="39">
        <f t="shared" si="75"/>
        <v>3.1007017730843599E-2</v>
      </c>
      <c r="W160" s="39">
        <f t="shared" si="75"/>
        <v>3.975097048975032E-2</v>
      </c>
      <c r="X160" s="39">
        <f t="shared" si="75"/>
        <v>2.4312756535925201E-2</v>
      </c>
    </row>
    <row r="161" spans="4:24" x14ac:dyDescent="0.25">
      <c r="D161" s="31" t="str">
        <f>D73</f>
        <v>House alowance</v>
      </c>
      <c r="E161" t="s">
        <v>291</v>
      </c>
      <c r="F161" s="39">
        <f>F73/$F73</f>
        <v>1</v>
      </c>
      <c r="I161" s="39">
        <f t="shared" ref="I161:X161" si="76">I73/$F73</f>
        <v>7.3483639709174361E-2</v>
      </c>
      <c r="J161" s="39">
        <f t="shared" si="76"/>
        <v>9.631104025380896E-2</v>
      </c>
      <c r="K161" s="39">
        <f t="shared" si="76"/>
        <v>5.807722539720761E-2</v>
      </c>
      <c r="L161" s="39">
        <f t="shared" si="76"/>
        <v>7.8004654919112848E-2</v>
      </c>
      <c r="M161" s="39">
        <f t="shared" si="76"/>
        <v>0.13581394305135622</v>
      </c>
      <c r="N161" s="39">
        <f t="shared" si="76"/>
        <v>6.442499536644164E-2</v>
      </c>
      <c r="O161" s="39">
        <f t="shared" si="76"/>
        <v>0.11054382116341907</v>
      </c>
      <c r="P161" s="39">
        <f t="shared" si="76"/>
        <v>7.4490270822046109E-2</v>
      </c>
      <c r="Q161" s="39">
        <f t="shared" si="76"/>
        <v>5.7593263982072498E-2</v>
      </c>
      <c r="R161" s="39">
        <f t="shared" si="76"/>
        <v>5.8053145997328394E-2</v>
      </c>
      <c r="S161" s="39">
        <f t="shared" si="76"/>
        <v>3.7078780417233857E-2</v>
      </c>
      <c r="T161" s="39">
        <f t="shared" si="76"/>
        <v>3.1913705990095943E-2</v>
      </c>
      <c r="U161" s="39">
        <f t="shared" si="76"/>
        <v>3.1496329725522888E-2</v>
      </c>
      <c r="V161" s="39">
        <f t="shared" si="76"/>
        <v>3.1967906216347368E-2</v>
      </c>
      <c r="W161" s="39">
        <f t="shared" si="76"/>
        <v>3.7504873597175373E-2</v>
      </c>
      <c r="X161" s="39">
        <f t="shared" si="76"/>
        <v>2.3242403391656834E-2</v>
      </c>
    </row>
    <row r="162" spans="4:24" x14ac:dyDescent="0.25">
      <c r="D162" s="31" t="str">
        <f>D74</f>
        <v>Other personnel expenses</v>
      </c>
      <c r="E162" t="s">
        <v>291</v>
      </c>
      <c r="F162" s="39">
        <f>F74/$F74</f>
        <v>1</v>
      </c>
      <c r="I162" s="39">
        <f t="shared" ref="I162:X162" si="77">I74/$F74</f>
        <v>8.7093115153207931E-2</v>
      </c>
      <c r="J162" s="39">
        <f t="shared" si="77"/>
        <v>8.575773457248291E-2</v>
      </c>
      <c r="K162" s="39">
        <f t="shared" si="77"/>
        <v>5.1272077344062271E-2</v>
      </c>
      <c r="L162" s="39">
        <f t="shared" si="77"/>
        <v>7.4659306397933112E-2</v>
      </c>
      <c r="M162" s="39">
        <f t="shared" si="77"/>
        <v>0.10336344827377049</v>
      </c>
      <c r="N162" s="39">
        <f t="shared" si="77"/>
        <v>5.5324587990000833E-2</v>
      </c>
      <c r="O162" s="39">
        <f t="shared" si="77"/>
        <v>0.11363078053334763</v>
      </c>
      <c r="P162" s="39">
        <f t="shared" si="77"/>
        <v>3.3390178174613747E-2</v>
      </c>
      <c r="Q162" s="39">
        <f t="shared" si="77"/>
        <v>5.0805921875376248E-2</v>
      </c>
      <c r="R162" s="39">
        <f t="shared" si="77"/>
        <v>7.9984605085473892E-2</v>
      </c>
      <c r="S162" s="39">
        <f t="shared" si="77"/>
        <v>5.9545236154196005E-2</v>
      </c>
      <c r="T162" s="39">
        <f t="shared" si="77"/>
        <v>4.1564204726346921E-2</v>
      </c>
      <c r="U162" s="39">
        <f t="shared" si="77"/>
        <v>3.670416628436985E-2</v>
      </c>
      <c r="V162" s="39">
        <f t="shared" si="77"/>
        <v>2.9066360113037815E-2</v>
      </c>
      <c r="W162" s="39">
        <f t="shared" si="77"/>
        <v>6.6179862602616782E-2</v>
      </c>
      <c r="X162" s="39">
        <f t="shared" si="77"/>
        <v>3.1658414719163572E-2</v>
      </c>
    </row>
    <row r="163" spans="4:24" s="18" customFormat="1" x14ac:dyDescent="0.25">
      <c r="D163" s="19" t="str">
        <f>D75</f>
        <v xml:space="preserve">Total personnel expenses </v>
      </c>
      <c r="E163" t="s">
        <v>291</v>
      </c>
      <c r="F163" s="64">
        <f>F75/$F75</f>
        <v>1</v>
      </c>
      <c r="I163" s="39">
        <f t="shared" ref="I163:X163" si="78">I75/$F75</f>
        <v>7.7901953415562664E-2</v>
      </c>
      <c r="J163" s="39">
        <f t="shared" si="78"/>
        <v>9.2616529559213429E-2</v>
      </c>
      <c r="K163" s="39">
        <f t="shared" si="78"/>
        <v>5.5355389623975793E-2</v>
      </c>
      <c r="L163" s="39">
        <f t="shared" si="78"/>
        <v>7.6994625803103331E-2</v>
      </c>
      <c r="M163" s="39">
        <f t="shared" si="78"/>
        <v>0.12385856783967956</v>
      </c>
      <c r="N163" s="39">
        <f t="shared" si="78"/>
        <v>6.1001375563557544E-2</v>
      </c>
      <c r="O163" s="39">
        <f t="shared" si="78"/>
        <v>0.1085152304711224</v>
      </c>
      <c r="P163" s="39">
        <f t="shared" si="78"/>
        <v>6.0703652861581157E-2</v>
      </c>
      <c r="Q163" s="39">
        <f t="shared" si="78"/>
        <v>5.6460475518057766E-2</v>
      </c>
      <c r="R163" s="39">
        <f t="shared" si="78"/>
        <v>6.5927764641530329E-2</v>
      </c>
      <c r="S163" s="39">
        <f t="shared" si="78"/>
        <v>4.5636773498965832E-2</v>
      </c>
      <c r="T163" s="39">
        <f t="shared" si="78"/>
        <v>3.5942056133879859E-2</v>
      </c>
      <c r="U163" s="39">
        <f t="shared" si="78"/>
        <v>3.4474345560184985E-2</v>
      </c>
      <c r="V163" s="39">
        <f t="shared" si="78"/>
        <v>3.0532463297131818E-2</v>
      </c>
      <c r="W163" s="39">
        <f t="shared" si="78"/>
        <v>4.7633574807089442E-2</v>
      </c>
      <c r="X163" s="39">
        <f t="shared" si="78"/>
        <v>2.6445221405364091E-2</v>
      </c>
    </row>
    <row r="164" spans="4:24" x14ac:dyDescent="0.25"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</row>
    <row r="165" spans="4:24" x14ac:dyDescent="0.25">
      <c r="D165" s="31" t="str">
        <f>D77</f>
        <v>Total governance Expenses</v>
      </c>
      <c r="E165" t="s">
        <v>291</v>
      </c>
      <c r="F165" s="39">
        <f>F77/$F77</f>
        <v>1</v>
      </c>
      <c r="I165" s="39">
        <f t="shared" ref="I165:X165" si="79">I77/$F77</f>
        <v>0.12482155866768033</v>
      </c>
      <c r="J165" s="39">
        <f t="shared" si="79"/>
        <v>0.20056082920293775</v>
      </c>
      <c r="K165" s="39">
        <f t="shared" si="79"/>
        <v>4.9998996066058433E-2</v>
      </c>
      <c r="L165" s="39">
        <f t="shared" si="79"/>
        <v>6.282804598313349E-2</v>
      </c>
      <c r="M165" s="39">
        <f t="shared" si="79"/>
        <v>0.16452165083938389</v>
      </c>
      <c r="N165" s="39">
        <f t="shared" si="79"/>
        <v>5.1130440185932796E-2</v>
      </c>
      <c r="O165" s="39">
        <f t="shared" si="79"/>
        <v>9.9997632829443031E-2</v>
      </c>
      <c r="P165" s="39">
        <f t="shared" si="79"/>
        <v>7.2911854388575698E-2</v>
      </c>
      <c r="Q165" s="39">
        <f t="shared" si="79"/>
        <v>4.9433242302944144E-2</v>
      </c>
      <c r="R165" s="39">
        <f t="shared" si="79"/>
        <v>3.8301918655142771E-2</v>
      </c>
      <c r="S165" s="39">
        <f t="shared" si="79"/>
        <v>2.8867983109392658E-2</v>
      </c>
      <c r="T165" s="39">
        <f t="shared" si="79"/>
        <v>9.4344850674865539E-3</v>
      </c>
      <c r="U165" s="39">
        <f t="shared" si="79"/>
        <v>9.3594753504627707E-3</v>
      </c>
      <c r="V165" s="39">
        <f t="shared" si="79"/>
        <v>9.5299539014669487E-3</v>
      </c>
      <c r="W165" s="39">
        <f t="shared" si="79"/>
        <v>2.8301933449958756E-2</v>
      </c>
      <c r="X165" s="39">
        <f t="shared" si="79"/>
        <v>0</v>
      </c>
    </row>
    <row r="166" spans="4:24" x14ac:dyDescent="0.25"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 spans="4:24" x14ac:dyDescent="0.25">
      <c r="D167" s="31" t="str">
        <f>D79</f>
        <v>Total Marketing Expenses</v>
      </c>
      <c r="E167" t="s">
        <v>291</v>
      </c>
      <c r="F167" s="39">
        <f>F79/$F79</f>
        <v>1</v>
      </c>
      <c r="I167" s="39">
        <f t="shared" ref="I167:X167" si="80">I79/$F79</f>
        <v>5.9803851448849324E-2</v>
      </c>
      <c r="J167" s="39">
        <f t="shared" si="80"/>
        <v>9.9114781774533825E-2</v>
      </c>
      <c r="K167" s="39">
        <f t="shared" si="80"/>
        <v>8.3963799274029735E-2</v>
      </c>
      <c r="L167" s="39">
        <f t="shared" si="80"/>
        <v>7.5684198488982959E-2</v>
      </c>
      <c r="M167" s="39">
        <f t="shared" si="80"/>
        <v>1.1623363425176694E-2</v>
      </c>
      <c r="N167" s="39">
        <f t="shared" si="80"/>
        <v>4.8392630064285097E-2</v>
      </c>
      <c r="O167" s="39">
        <f t="shared" si="80"/>
        <v>8.1300911564246514E-2</v>
      </c>
      <c r="P167" s="39">
        <f t="shared" si="80"/>
        <v>4.7921876774164089E-2</v>
      </c>
      <c r="Q167" s="39">
        <f t="shared" si="80"/>
        <v>6.1710705333897428E-2</v>
      </c>
      <c r="R167" s="39">
        <f t="shared" si="80"/>
        <v>4.2965834625379382E-2</v>
      </c>
      <c r="S167" s="39">
        <f t="shared" si="80"/>
        <v>6.2896680360940482E-2</v>
      </c>
      <c r="T167" s="39">
        <f t="shared" si="80"/>
        <v>6.676857566217613E-2</v>
      </c>
      <c r="U167" s="39">
        <f t="shared" si="80"/>
        <v>2.3935683382247226E-2</v>
      </c>
      <c r="V167" s="39">
        <f t="shared" si="80"/>
        <v>5.8788398214450956E-2</v>
      </c>
      <c r="W167" s="39">
        <f t="shared" si="80"/>
        <v>4.0466599346925779E-2</v>
      </c>
      <c r="X167" s="39">
        <f t="shared" si="80"/>
        <v>0.13466211025971439</v>
      </c>
    </row>
    <row r="168" spans="4:24" x14ac:dyDescent="0.25">
      <c r="D168" s="31"/>
      <c r="E168" s="31"/>
      <c r="F168" s="31"/>
      <c r="G168" s="31"/>
      <c r="H168" s="31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</row>
    <row r="169" spans="4:24" x14ac:dyDescent="0.25">
      <c r="D169" s="31" t="str">
        <f>D81</f>
        <v>Total Depreciation and amortization</v>
      </c>
      <c r="E169" t="s">
        <v>291</v>
      </c>
      <c r="F169" s="39">
        <f>F81/$F81</f>
        <v>1</v>
      </c>
      <c r="I169" s="39">
        <f t="shared" ref="I169:X169" si="81">I81/$F81</f>
        <v>4.7601917884808317E-2</v>
      </c>
      <c r="J169" s="39">
        <f t="shared" si="81"/>
        <v>4.5063576525999995E-2</v>
      </c>
      <c r="K169" s="39">
        <f t="shared" si="81"/>
        <v>5.4699592292155527E-2</v>
      </c>
      <c r="L169" s="39">
        <f t="shared" si="81"/>
        <v>5.0293648882343188E-2</v>
      </c>
      <c r="M169" s="39">
        <f t="shared" si="81"/>
        <v>8.4958799603546784E-2</v>
      </c>
      <c r="N169" s="39">
        <f t="shared" si="81"/>
        <v>7.144901473629689E-2</v>
      </c>
      <c r="O169" s="39">
        <f t="shared" si="81"/>
        <v>7.6890867658929218E-2</v>
      </c>
      <c r="P169" s="39">
        <f t="shared" si="81"/>
        <v>0.10969719009544647</v>
      </c>
      <c r="Q169" s="39">
        <f t="shared" si="81"/>
        <v>5.8539476502643628E-2</v>
      </c>
      <c r="R169" s="39">
        <f t="shared" si="81"/>
        <v>8.9580154103641785E-2</v>
      </c>
      <c r="S169" s="39">
        <f t="shared" si="81"/>
        <v>5.3400469789804762E-2</v>
      </c>
      <c r="T169" s="39">
        <f t="shared" si="81"/>
        <v>3.1617930915969102E-2</v>
      </c>
      <c r="U169" s="39">
        <f t="shared" si="81"/>
        <v>2.1126624205671605E-2</v>
      </c>
      <c r="V169" s="39">
        <f t="shared" si="81"/>
        <v>5.840212167822182E-2</v>
      </c>
      <c r="W169" s="39">
        <f t="shared" si="81"/>
        <v>7.2749952500644421E-2</v>
      </c>
      <c r="X169" s="39">
        <f t="shared" si="81"/>
        <v>7.3928662623876498E-2</v>
      </c>
    </row>
    <row r="170" spans="4:24" x14ac:dyDescent="0.25"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</row>
    <row r="171" spans="4:24" x14ac:dyDescent="0.25">
      <c r="D171" s="31" t="str">
        <f>D83</f>
        <v>Security</v>
      </c>
      <c r="E171" t="s">
        <v>291</v>
      </c>
      <c r="F171" s="39">
        <f>F83/$F83</f>
        <v>1</v>
      </c>
      <c r="I171" s="39">
        <f t="shared" ref="I171:X171" si="82">I83/$F83</f>
        <v>6.3174565727471099E-2</v>
      </c>
      <c r="J171" s="39">
        <f t="shared" si="82"/>
        <v>6.5458808481850123E-2</v>
      </c>
      <c r="K171" s="39">
        <f t="shared" si="82"/>
        <v>6.7631049894729095E-2</v>
      </c>
      <c r="L171" s="39">
        <f t="shared" si="82"/>
        <v>7.0409511981257486E-2</v>
      </c>
      <c r="M171" s="39">
        <f t="shared" si="82"/>
        <v>7.494262475051304E-2</v>
      </c>
      <c r="N171" s="39">
        <f t="shared" si="82"/>
        <v>6.7641854120602252E-2</v>
      </c>
      <c r="O171" s="39">
        <f t="shared" si="82"/>
        <v>6.4531199089248162E-2</v>
      </c>
      <c r="P171" s="39">
        <f t="shared" si="82"/>
        <v>6.7150557849562406E-2</v>
      </c>
      <c r="Q171" s="39">
        <f t="shared" si="82"/>
        <v>6.7678188880216733E-2</v>
      </c>
      <c r="R171" s="39">
        <f t="shared" si="82"/>
        <v>6.7580802844264265E-2</v>
      </c>
      <c r="S171" s="39">
        <f t="shared" si="82"/>
        <v>6.0900609188135689E-2</v>
      </c>
      <c r="T171" s="39">
        <f t="shared" si="82"/>
        <v>5.1596875684283054E-2</v>
      </c>
      <c r="U171" s="39">
        <f t="shared" si="82"/>
        <v>4.9148164491526862E-2</v>
      </c>
      <c r="V171" s="39">
        <f t="shared" si="82"/>
        <v>5.5634770100503723E-2</v>
      </c>
      <c r="W171" s="39">
        <f t="shared" si="82"/>
        <v>6.0563606142750019E-2</v>
      </c>
      <c r="X171" s="39">
        <f t="shared" si="82"/>
        <v>4.595681077308602E-2</v>
      </c>
    </row>
    <row r="172" spans="4:24" x14ac:dyDescent="0.25">
      <c r="D172" s="31" t="str">
        <f>D84</f>
        <v>Other Admin Expenses</v>
      </c>
      <c r="E172" t="s">
        <v>291</v>
      </c>
      <c r="F172" s="39">
        <f>F84/$F84</f>
        <v>1</v>
      </c>
      <c r="I172" s="39">
        <f t="shared" ref="I172:X172" si="83">I84/$F84</f>
        <v>8.8926536803527273E-2</v>
      </c>
      <c r="J172" s="39">
        <f t="shared" si="83"/>
        <v>7.9859561407212842E-2</v>
      </c>
      <c r="K172" s="39">
        <f t="shared" si="83"/>
        <v>4.5763514227671789E-2</v>
      </c>
      <c r="L172" s="39">
        <f t="shared" si="83"/>
        <v>5.0413207782981029E-2</v>
      </c>
      <c r="M172" s="39">
        <f t="shared" si="83"/>
        <v>9.9406251058662881E-2</v>
      </c>
      <c r="N172" s="39">
        <f t="shared" si="83"/>
        <v>6.3513067645108529E-2</v>
      </c>
      <c r="O172" s="39">
        <f t="shared" si="83"/>
        <v>6.4635929136851858E-2</v>
      </c>
      <c r="P172" s="39">
        <f t="shared" si="83"/>
        <v>7.952714357136674E-2</v>
      </c>
      <c r="Q172" s="39">
        <f t="shared" si="83"/>
        <v>8.2817684850528164E-2</v>
      </c>
      <c r="R172" s="39">
        <f t="shared" si="83"/>
        <v>8.7856910930972018E-2</v>
      </c>
      <c r="S172" s="39">
        <f t="shared" si="83"/>
        <v>4.4124625581994432E-2</v>
      </c>
      <c r="T172" s="39">
        <f t="shared" si="83"/>
        <v>6.8915356215192042E-2</v>
      </c>
      <c r="U172" s="39">
        <f t="shared" si="83"/>
        <v>3.0652707481946716E-2</v>
      </c>
      <c r="V172" s="39">
        <f t="shared" si="83"/>
        <v>2.2148806818356039E-2</v>
      </c>
      <c r="W172" s="39">
        <f t="shared" si="83"/>
        <v>3.8190165537654079E-2</v>
      </c>
      <c r="X172" s="39">
        <f t="shared" si="83"/>
        <v>5.3248530949973553E-2</v>
      </c>
    </row>
    <row r="173" spans="4:24" s="18" customFormat="1" x14ac:dyDescent="0.25">
      <c r="D173" s="19" t="str">
        <f>D85</f>
        <v>Total Admin expenses</v>
      </c>
      <c r="E173" t="s">
        <v>291</v>
      </c>
      <c r="F173" s="64">
        <f>F85/$F85</f>
        <v>1</v>
      </c>
      <c r="I173" s="39">
        <f t="shared" ref="I173:X173" si="84">I85/$F85</f>
        <v>8.0351405295418066E-2</v>
      </c>
      <c r="J173" s="39">
        <f t="shared" si="84"/>
        <v>7.506426438757649E-2</v>
      </c>
      <c r="K173" s="39">
        <f t="shared" si="84"/>
        <v>5.3045170204585955E-2</v>
      </c>
      <c r="L173" s="39">
        <f t="shared" si="84"/>
        <v>5.7071763653129867E-2</v>
      </c>
      <c r="M173" s="39">
        <f t="shared" si="84"/>
        <v>9.1260124607290979E-2</v>
      </c>
      <c r="N173" s="39">
        <f t="shared" si="84"/>
        <v>6.4887909473397953E-2</v>
      </c>
      <c r="O173" s="39">
        <f t="shared" si="84"/>
        <v>6.4601055148821973E-2</v>
      </c>
      <c r="P173" s="39">
        <f t="shared" si="84"/>
        <v>7.5405872625837533E-2</v>
      </c>
      <c r="Q173" s="39">
        <f t="shared" si="84"/>
        <v>7.777639428179893E-2</v>
      </c>
      <c r="R173" s="39">
        <f t="shared" si="84"/>
        <v>8.110518335242492E-2</v>
      </c>
      <c r="S173" s="39">
        <f t="shared" si="84"/>
        <v>4.9710849066623194E-2</v>
      </c>
      <c r="T173" s="39">
        <f t="shared" si="84"/>
        <v>6.3148487044883961E-2</v>
      </c>
      <c r="U173" s="39">
        <f t="shared" si="84"/>
        <v>3.6811497257351326E-2</v>
      </c>
      <c r="V173" s="39">
        <f t="shared" si="84"/>
        <v>3.3299275183362773E-2</v>
      </c>
      <c r="W173" s="39">
        <f t="shared" si="84"/>
        <v>4.5640282459226446E-2</v>
      </c>
      <c r="X173" s="39">
        <f t="shared" si="84"/>
        <v>5.0820465958269632E-2</v>
      </c>
    </row>
    <row r="174" spans="4:24" x14ac:dyDescent="0.25"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</row>
    <row r="175" spans="4:24" s="18" customFormat="1" x14ac:dyDescent="0.25">
      <c r="D175" s="63" t="str">
        <f>D87</f>
        <v>Total Expenses</v>
      </c>
      <c r="E175" s="63" t="s">
        <v>291</v>
      </c>
      <c r="F175" s="84">
        <f>F87/$F87</f>
        <v>1</v>
      </c>
      <c r="G175" s="11"/>
      <c r="H175" s="11"/>
      <c r="I175" s="39">
        <f t="shared" ref="I175:X175" si="85">I87/$F87</f>
        <v>0.12203588609057152</v>
      </c>
      <c r="J175" s="39">
        <f t="shared" si="85"/>
        <v>0.10629176955972092</v>
      </c>
      <c r="K175" s="39">
        <f t="shared" si="85"/>
        <v>7.1653959711393697E-2</v>
      </c>
      <c r="L175" s="39">
        <f t="shared" si="85"/>
        <v>6.8415568116977354E-2</v>
      </c>
      <c r="M175" s="39">
        <f t="shared" si="85"/>
        <v>0.12559949738138407</v>
      </c>
      <c r="N175" s="39">
        <f t="shared" si="85"/>
        <v>5.1562849557198191E-2</v>
      </c>
      <c r="O175" s="39">
        <f t="shared" si="85"/>
        <v>9.1282184131677227E-2</v>
      </c>
      <c r="P175" s="39">
        <f t="shared" si="85"/>
        <v>7.1182380945930532E-2</v>
      </c>
      <c r="Q175" s="39">
        <f t="shared" si="85"/>
        <v>8.660642018164838E-2</v>
      </c>
      <c r="R175" s="39">
        <f t="shared" si="85"/>
        <v>5.6669787239255316E-2</v>
      </c>
      <c r="S175" s="39">
        <f t="shared" si="85"/>
        <v>2.0861164964930318E-2</v>
      </c>
      <c r="T175" s="39">
        <f t="shared" si="85"/>
        <v>2.999652688547776E-2</v>
      </c>
      <c r="U175" s="39">
        <f t="shared" si="85"/>
        <v>2.7038984767079294E-2</v>
      </c>
      <c r="V175" s="39">
        <f t="shared" si="85"/>
        <v>2.3468161456279429E-2</v>
      </c>
      <c r="W175" s="39">
        <f t="shared" si="85"/>
        <v>2.8250719631192932E-2</v>
      </c>
      <c r="X175" s="39">
        <f t="shared" si="85"/>
        <v>1.9084139379283084E-2</v>
      </c>
    </row>
    <row r="176" spans="4:24" ht="15.75" thickBot="1" x14ac:dyDescent="0.3"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</row>
    <row r="177" spans="2:59" ht="15.75" thickBot="1" x14ac:dyDescent="0.3">
      <c r="D177" s="87" t="str">
        <f>D89</f>
        <v>Banking Operating Profit</v>
      </c>
      <c r="E177" s="50" t="s">
        <v>291</v>
      </c>
      <c r="F177" s="88">
        <f>F89/$F89</f>
        <v>1</v>
      </c>
      <c r="G177" s="7"/>
      <c r="H177" s="7"/>
      <c r="I177" s="85">
        <f t="shared" ref="I177:X177" si="86">I89/$F89</f>
        <v>0.25648390832648738</v>
      </c>
      <c r="J177" s="85">
        <f t="shared" si="86"/>
        <v>0.33052535215078044</v>
      </c>
      <c r="K177" s="85">
        <f t="shared" si="86"/>
        <v>-3.2739035549372072E-3</v>
      </c>
      <c r="L177" s="85">
        <f t="shared" si="86"/>
        <v>2.78400773204222E-2</v>
      </c>
      <c r="M177" s="85">
        <f t="shared" si="86"/>
        <v>0.10001507082499977</v>
      </c>
      <c r="N177" s="85">
        <f t="shared" si="86"/>
        <v>4.2645251120238398E-2</v>
      </c>
      <c r="O177" s="85">
        <f t="shared" si="86"/>
        <v>0.10702636009897694</v>
      </c>
      <c r="P177" s="85">
        <f t="shared" si="86"/>
        <v>3.9824207859645674E-2</v>
      </c>
      <c r="Q177" s="85">
        <f t="shared" si="86"/>
        <v>-1.7529893392900182E-2</v>
      </c>
      <c r="R177" s="85">
        <f t="shared" si="86"/>
        <v>7.3706494771315523E-2</v>
      </c>
      <c r="S177" s="85">
        <f t="shared" si="86"/>
        <v>2.5554360192012418E-2</v>
      </c>
      <c r="T177" s="85">
        <f t="shared" si="86"/>
        <v>-2.1376942681439904E-3</v>
      </c>
      <c r="U177" s="85">
        <f t="shared" si="86"/>
        <v>-9.1069421772655961E-3</v>
      </c>
      <c r="V177" s="85">
        <f t="shared" si="86"/>
        <v>-4.8624573845623634E-3</v>
      </c>
      <c r="W177" s="85">
        <f t="shared" si="86"/>
        <v>3.8428838878217741E-2</v>
      </c>
      <c r="X177" s="86">
        <f t="shared" si="86"/>
        <v>-5.1390307652871533E-3</v>
      </c>
    </row>
    <row r="178" spans="2:59" x14ac:dyDescent="0.25"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</row>
    <row r="179" spans="2:59" x14ac:dyDescent="0.25"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 spans="2:59" x14ac:dyDescent="0.25">
      <c r="B180" s="42"/>
      <c r="C180" s="42" t="s">
        <v>289</v>
      </c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</row>
    <row r="181" spans="2:59" x14ac:dyDescent="0.25">
      <c r="D181" s="31"/>
      <c r="E181" s="31"/>
      <c r="F181" s="31"/>
      <c r="G181" s="31"/>
      <c r="H181" s="31"/>
      <c r="I181" s="31"/>
      <c r="J181" s="31"/>
      <c r="K181" s="39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</row>
    <row r="182" spans="2:59" x14ac:dyDescent="0.25">
      <c r="C182" s="31" t="str">
        <f>D94</f>
        <v>Interest on short term loan me</v>
      </c>
      <c r="D182" s="31"/>
      <c r="E182" s="31" t="s">
        <v>292</v>
      </c>
      <c r="F182" s="31"/>
      <c r="G182" s="31"/>
      <c r="H182" s="31"/>
      <c r="I182" s="39">
        <f t="shared" ref="I182:X182" si="87">I6/I$55</f>
        <v>1.2618267408903613E-2</v>
      </c>
      <c r="J182" s="39">
        <f t="shared" si="87"/>
        <v>5.5055962058142865E-2</v>
      </c>
      <c r="K182" s="39">
        <f t="shared" si="87"/>
        <v>7.0933626307362344E-2</v>
      </c>
      <c r="L182" s="39">
        <f t="shared" si="87"/>
        <v>4.2390519933629169E-2</v>
      </c>
      <c r="M182" s="39">
        <f t="shared" si="87"/>
        <v>4.6844790242287451E-2</v>
      </c>
      <c r="N182" s="39">
        <f t="shared" si="87"/>
        <v>1.3778986358813852E-2</v>
      </c>
      <c r="O182" s="39">
        <f t="shared" si="87"/>
        <v>2.0504854225760403E-2</v>
      </c>
      <c r="P182" s="39">
        <f t="shared" si="87"/>
        <v>2.9845216419012031E-2</v>
      </c>
      <c r="Q182" s="39">
        <f t="shared" si="87"/>
        <v>4.7844149102468049E-3</v>
      </c>
      <c r="R182" s="39">
        <f t="shared" si="87"/>
        <v>2.5112933940197667E-6</v>
      </c>
      <c r="S182" s="39">
        <f t="shared" si="87"/>
        <v>0.3028789392170721</v>
      </c>
      <c r="T182" s="39">
        <f t="shared" si="87"/>
        <v>1.6608162956041608E-3</v>
      </c>
      <c r="U182" s="39">
        <f t="shared" si="87"/>
        <v>2.0471805350921544E-2</v>
      </c>
      <c r="V182" s="39">
        <f t="shared" si="87"/>
        <v>3.407349488687217E-3</v>
      </c>
      <c r="W182" s="39">
        <f t="shared" si="87"/>
        <v>0.20521305927473571</v>
      </c>
      <c r="X182" s="39">
        <f t="shared" si="87"/>
        <v>1.029147459415925E-2</v>
      </c>
    </row>
    <row r="183" spans="2:59" x14ac:dyDescent="0.25">
      <c r="C183" s="31" t="str">
        <f t="shared" ref="C183:C232" si="88">D95</f>
        <v>Interest on short term loan Cu</v>
      </c>
      <c r="D183" s="31"/>
      <c r="E183" s="31" t="s">
        <v>292</v>
      </c>
      <c r="F183" s="31"/>
      <c r="G183" s="31"/>
      <c r="H183" s="31"/>
      <c r="I183" s="39">
        <f t="shared" ref="I183:X183" si="89">I7/I$55</f>
        <v>3.4386030053775336E-2</v>
      </c>
      <c r="J183" s="39">
        <f t="shared" si="89"/>
        <v>2.6943569824928806E-2</v>
      </c>
      <c r="K183" s="39">
        <f t="shared" si="89"/>
        <v>3.4364939962403696E-2</v>
      </c>
      <c r="L183" s="39">
        <f t="shared" si="89"/>
        <v>0.11505693084096964</v>
      </c>
      <c r="M183" s="39">
        <f t="shared" si="89"/>
        <v>5.7223188124216978E-2</v>
      </c>
      <c r="N183" s="39">
        <f t="shared" si="89"/>
        <v>9.4310437949231607E-2</v>
      </c>
      <c r="O183" s="39">
        <f t="shared" si="89"/>
        <v>5.1128409576421965E-2</v>
      </c>
      <c r="P183" s="39">
        <f t="shared" si="89"/>
        <v>9.2840174251260066E-2</v>
      </c>
      <c r="Q183" s="39">
        <f t="shared" si="89"/>
        <v>5.4138871511672966E-2</v>
      </c>
      <c r="R183" s="39">
        <f t="shared" si="89"/>
        <v>0.12363965568761244</v>
      </c>
      <c r="S183" s="39">
        <f t="shared" si="89"/>
        <v>6.2586667730034198E-2</v>
      </c>
      <c r="T183" s="39">
        <f t="shared" si="89"/>
        <v>7.2556654619527094E-2</v>
      </c>
      <c r="U183" s="39">
        <f t="shared" si="89"/>
        <v>0.11678702918118049</v>
      </c>
      <c r="V183" s="39">
        <f t="shared" si="89"/>
        <v>6.4177781658626032E-2</v>
      </c>
      <c r="W183" s="39">
        <f t="shared" si="89"/>
        <v>9.7368665659892523E-2</v>
      </c>
      <c r="X183" s="39">
        <f t="shared" si="89"/>
        <v>9.5451406175400239E-2</v>
      </c>
    </row>
    <row r="184" spans="2:59" x14ac:dyDescent="0.25">
      <c r="C184" s="31" t="str">
        <f t="shared" si="88"/>
        <v>Interest on medium term loan m</v>
      </c>
      <c r="D184" s="31"/>
      <c r="E184" s="31" t="s">
        <v>292</v>
      </c>
      <c r="F184" s="31"/>
      <c r="G184" s="31"/>
      <c r="H184" s="31"/>
      <c r="I184" s="39">
        <f t="shared" ref="I184:X184" si="90">I8/I$55</f>
        <v>1.5100005308042093E-2</v>
      </c>
      <c r="J184" s="39">
        <f t="shared" si="90"/>
        <v>0.16506012606472054</v>
      </c>
      <c r="K184" s="39">
        <f t="shared" si="90"/>
        <v>4.6470195907347724E-2</v>
      </c>
      <c r="L184" s="39">
        <f t="shared" si="90"/>
        <v>3.34321854551137E-2</v>
      </c>
      <c r="M184" s="39">
        <f t="shared" si="90"/>
        <v>9.1180377945027272E-2</v>
      </c>
      <c r="N184" s="39">
        <f t="shared" si="90"/>
        <v>6.3628208092308325E-3</v>
      </c>
      <c r="O184" s="39">
        <f t="shared" si="90"/>
        <v>2.0849370697187501E-2</v>
      </c>
      <c r="P184" s="39">
        <f t="shared" si="90"/>
        <v>9.8953976065591004E-2</v>
      </c>
      <c r="Q184" s="39">
        <f t="shared" si="90"/>
        <v>3.1367313613238829E-2</v>
      </c>
      <c r="R184" s="39">
        <f t="shared" si="90"/>
        <v>0</v>
      </c>
      <c r="S184" s="39">
        <f t="shared" si="90"/>
        <v>1.5879666377530188E-2</v>
      </c>
      <c r="T184" s="39">
        <f t="shared" si="90"/>
        <v>0</v>
      </c>
      <c r="U184" s="39">
        <f t="shared" si="90"/>
        <v>2.9983037549570685E-2</v>
      </c>
      <c r="V184" s="39">
        <f t="shared" si="90"/>
        <v>8.8238317599360194E-3</v>
      </c>
      <c r="W184" s="39">
        <f t="shared" si="90"/>
        <v>4.4883615428046413E-2</v>
      </c>
      <c r="X184" s="39">
        <f t="shared" si="90"/>
        <v>1.0458902815237495E-2</v>
      </c>
    </row>
    <row r="185" spans="2:59" x14ac:dyDescent="0.25">
      <c r="C185" s="31" t="str">
        <f t="shared" si="88"/>
        <v>Interest on medium term loan C</v>
      </c>
      <c r="D185" s="31"/>
      <c r="E185" s="31" t="s">
        <v>292</v>
      </c>
      <c r="F185" s="31"/>
      <c r="G185" s="31"/>
      <c r="H185" s="31"/>
      <c r="I185" s="39">
        <f t="shared" ref="I185:X185" si="91">I9/I$55</f>
        <v>0.24558486033566829</v>
      </c>
      <c r="J185" s="39">
        <f t="shared" si="91"/>
        <v>0.17971876948618426</v>
      </c>
      <c r="K185" s="39">
        <f t="shared" si="91"/>
        <v>5.7822223846471864E-2</v>
      </c>
      <c r="L185" s="39">
        <f t="shared" si="91"/>
        <v>0.26820604012247035</v>
      </c>
      <c r="M185" s="39">
        <f t="shared" si="91"/>
        <v>0.19845625230955077</v>
      </c>
      <c r="N185" s="39">
        <f t="shared" si="91"/>
        <v>0.45116542358713824</v>
      </c>
      <c r="O185" s="39">
        <f t="shared" si="91"/>
        <v>0.3290845869203155</v>
      </c>
      <c r="P185" s="39">
        <f t="shared" si="91"/>
        <v>0.1850095047262284</v>
      </c>
      <c r="Q185" s="39">
        <f t="shared" si="91"/>
        <v>0.27582750930604005</v>
      </c>
      <c r="R185" s="39">
        <f t="shared" si="91"/>
        <v>0.39735426200283797</v>
      </c>
      <c r="S185" s="39">
        <f t="shared" si="91"/>
        <v>0.32443909034256613</v>
      </c>
      <c r="T185" s="39">
        <f t="shared" si="91"/>
        <v>0.14975785371843384</v>
      </c>
      <c r="U185" s="39">
        <f t="shared" si="91"/>
        <v>0.39921004640804925</v>
      </c>
      <c r="V185" s="39">
        <f t="shared" si="91"/>
        <v>0.29147555363277167</v>
      </c>
      <c r="W185" s="39">
        <f t="shared" si="91"/>
        <v>0.16229151864166755</v>
      </c>
      <c r="X185" s="39">
        <f t="shared" si="91"/>
        <v>0.1590102105440809</v>
      </c>
    </row>
    <row r="186" spans="2:59" x14ac:dyDescent="0.25">
      <c r="C186" s="31" t="str">
        <f t="shared" si="88"/>
        <v>Interest on staff loan</v>
      </c>
      <c r="D186" s="31"/>
      <c r="E186" s="31" t="s">
        <v>292</v>
      </c>
      <c r="F186" s="31"/>
      <c r="G186" s="31"/>
      <c r="H186" s="31"/>
      <c r="I186" s="39">
        <f t="shared" ref="I186:X186" si="92">I10/I$55</f>
        <v>0.11472812952032993</v>
      </c>
      <c r="J186" s="39">
        <f t="shared" si="92"/>
        <v>0</v>
      </c>
      <c r="K186" s="39">
        <f t="shared" si="92"/>
        <v>0</v>
      </c>
      <c r="L186" s="39">
        <f t="shared" si="92"/>
        <v>0</v>
      </c>
      <c r="M186" s="39">
        <f t="shared" si="92"/>
        <v>0</v>
      </c>
      <c r="N186" s="39">
        <f t="shared" si="92"/>
        <v>0</v>
      </c>
      <c r="O186" s="39">
        <f t="shared" si="92"/>
        <v>0</v>
      </c>
      <c r="P186" s="39">
        <f t="shared" si="92"/>
        <v>0</v>
      </c>
      <c r="Q186" s="39">
        <f t="shared" si="92"/>
        <v>0</v>
      </c>
      <c r="R186" s="39">
        <f t="shared" si="92"/>
        <v>0</v>
      </c>
      <c r="S186" s="39">
        <f t="shared" si="92"/>
        <v>0</v>
      </c>
      <c r="T186" s="39">
        <f t="shared" si="92"/>
        <v>0</v>
      </c>
      <c r="U186" s="39">
        <f t="shared" si="92"/>
        <v>0</v>
      </c>
      <c r="V186" s="39">
        <f t="shared" si="92"/>
        <v>0</v>
      </c>
      <c r="W186" s="39">
        <f t="shared" si="92"/>
        <v>0</v>
      </c>
      <c r="X186" s="39">
        <f t="shared" si="92"/>
        <v>0</v>
      </c>
    </row>
    <row r="187" spans="2:59" x14ac:dyDescent="0.25">
      <c r="C187" s="31" t="str">
        <f t="shared" si="88"/>
        <v>Interest on development loan soc</v>
      </c>
      <c r="D187" s="31"/>
      <c r="E187" s="31" t="s">
        <v>292</v>
      </c>
      <c r="F187" s="31"/>
      <c r="G187" s="31"/>
      <c r="H187" s="31"/>
      <c r="I187" s="39">
        <f t="shared" ref="I187:X187" si="93">I11/I$55</f>
        <v>1.4528824078920073E-2</v>
      </c>
      <c r="J187" s="39">
        <f t="shared" si="93"/>
        <v>8.7443362090224384E-3</v>
      </c>
      <c r="K187" s="39">
        <f t="shared" si="93"/>
        <v>5.1970151367377096E-4</v>
      </c>
      <c r="L187" s="39">
        <f t="shared" si="93"/>
        <v>0</v>
      </c>
      <c r="M187" s="39">
        <f t="shared" si="93"/>
        <v>0</v>
      </c>
      <c r="N187" s="39">
        <f t="shared" si="93"/>
        <v>0</v>
      </c>
      <c r="O187" s="39">
        <f t="shared" si="93"/>
        <v>1.644122728558851E-2</v>
      </c>
      <c r="P187" s="39">
        <f t="shared" si="93"/>
        <v>0</v>
      </c>
      <c r="Q187" s="39">
        <f t="shared" si="93"/>
        <v>8.3585722488082562E-2</v>
      </c>
      <c r="R187" s="39">
        <f t="shared" si="93"/>
        <v>0</v>
      </c>
      <c r="S187" s="39">
        <f t="shared" si="93"/>
        <v>0</v>
      </c>
      <c r="T187" s="39">
        <f t="shared" si="93"/>
        <v>0</v>
      </c>
      <c r="U187" s="39">
        <f t="shared" si="93"/>
        <v>0</v>
      </c>
      <c r="V187" s="39">
        <f t="shared" si="93"/>
        <v>0</v>
      </c>
      <c r="W187" s="39">
        <f t="shared" si="93"/>
        <v>0</v>
      </c>
      <c r="X187" s="39">
        <f t="shared" si="93"/>
        <v>0</v>
      </c>
    </row>
    <row r="188" spans="2:59" x14ac:dyDescent="0.25">
      <c r="C188" s="31" t="str">
        <f t="shared" si="88"/>
        <v>Interest on overdraft members</v>
      </c>
      <c r="D188" s="31"/>
      <c r="E188" s="31" t="s">
        <v>292</v>
      </c>
      <c r="F188" s="31"/>
      <c r="G188" s="31"/>
      <c r="H188" s="31"/>
      <c r="I188" s="39">
        <f t="shared" ref="I188:X188" si="94">I12/I$55</f>
        <v>3.024112101746192E-2</v>
      </c>
      <c r="J188" s="39">
        <f t="shared" si="94"/>
        <v>0</v>
      </c>
      <c r="K188" s="39">
        <f t="shared" si="94"/>
        <v>0</v>
      </c>
      <c r="L188" s="39">
        <f t="shared" si="94"/>
        <v>2.3349115549365109E-2</v>
      </c>
      <c r="M188" s="39">
        <f t="shared" si="94"/>
        <v>4.5298789448339734E-3</v>
      </c>
      <c r="N188" s="39">
        <f t="shared" si="94"/>
        <v>3.790741822555831E-3</v>
      </c>
      <c r="O188" s="39">
        <f t="shared" si="94"/>
        <v>1.4668014041495413E-2</v>
      </c>
      <c r="P188" s="39">
        <f t="shared" si="94"/>
        <v>1.199747905833228E-3</v>
      </c>
      <c r="Q188" s="39">
        <f t="shared" si="94"/>
        <v>7.5836798100972713E-2</v>
      </c>
      <c r="R188" s="39">
        <f t="shared" si="94"/>
        <v>6.5853287915181198E-4</v>
      </c>
      <c r="S188" s="39">
        <f t="shared" si="94"/>
        <v>0</v>
      </c>
      <c r="T188" s="39">
        <f t="shared" si="94"/>
        <v>0</v>
      </c>
      <c r="U188" s="39">
        <f t="shared" si="94"/>
        <v>0</v>
      </c>
      <c r="V188" s="39">
        <f t="shared" si="94"/>
        <v>2.0553087027360643E-2</v>
      </c>
      <c r="W188" s="39">
        <f t="shared" si="94"/>
        <v>6.5918729837027552E-5</v>
      </c>
      <c r="X188" s="39">
        <f t="shared" si="94"/>
        <v>1.1479348955774722E-2</v>
      </c>
    </row>
    <row r="189" spans="2:59" x14ac:dyDescent="0.25">
      <c r="C189" s="31" t="str">
        <f t="shared" si="88"/>
        <v>Interest on Overdue loan</v>
      </c>
      <c r="D189" s="31"/>
      <c r="E189" s="31" t="s">
        <v>292</v>
      </c>
      <c r="F189" s="31"/>
      <c r="G189" s="31"/>
      <c r="H189" s="31"/>
      <c r="I189" s="39">
        <f t="shared" ref="I189:X189" si="95">I13/I$55</f>
        <v>1.6523396541772112E-3</v>
      </c>
      <c r="J189" s="39">
        <f t="shared" si="95"/>
        <v>3.263000407471624E-3</v>
      </c>
      <c r="K189" s="39">
        <f t="shared" si="95"/>
        <v>4.6086078632463015E-3</v>
      </c>
      <c r="L189" s="39">
        <f t="shared" si="95"/>
        <v>9.3156669982162287E-3</v>
      </c>
      <c r="M189" s="39">
        <f t="shared" si="95"/>
        <v>5.8876131550224245E-3</v>
      </c>
      <c r="N189" s="39">
        <f t="shared" si="95"/>
        <v>4.5247373033757601E-4</v>
      </c>
      <c r="O189" s="39">
        <f t="shared" si="95"/>
        <v>4.4323500470747476E-3</v>
      </c>
      <c r="P189" s="39">
        <f t="shared" si="95"/>
        <v>2.0098609737265179E-3</v>
      </c>
      <c r="Q189" s="39">
        <f t="shared" si="95"/>
        <v>0</v>
      </c>
      <c r="R189" s="39">
        <f t="shared" si="95"/>
        <v>0</v>
      </c>
      <c r="S189" s="39">
        <f t="shared" si="95"/>
        <v>0</v>
      </c>
      <c r="T189" s="39">
        <f t="shared" si="95"/>
        <v>0</v>
      </c>
      <c r="U189" s="39">
        <f t="shared" si="95"/>
        <v>0</v>
      </c>
      <c r="V189" s="39">
        <f t="shared" si="95"/>
        <v>0</v>
      </c>
      <c r="W189" s="39">
        <f t="shared" si="95"/>
        <v>0</v>
      </c>
      <c r="X189" s="39">
        <f t="shared" si="95"/>
        <v>0</v>
      </c>
    </row>
    <row r="190" spans="2:59" x14ac:dyDescent="0.25">
      <c r="C190" s="31" t="str">
        <f t="shared" si="88"/>
        <v>Advance interest</v>
      </c>
      <c r="D190" s="31"/>
      <c r="E190" s="31" t="s">
        <v>292</v>
      </c>
      <c r="F190" s="31"/>
      <c r="G190" s="31"/>
      <c r="H190" s="31"/>
      <c r="I190" s="39">
        <f t="shared" ref="I190:X190" si="96">I14/I$55</f>
        <v>9.1057087608080844E-2</v>
      </c>
      <c r="J190" s="39">
        <f t="shared" si="96"/>
        <v>9.7901374374155636E-2</v>
      </c>
      <c r="K190" s="39">
        <f t="shared" si="96"/>
        <v>9.6009675452080695E-2</v>
      </c>
      <c r="L190" s="39">
        <f t="shared" si="96"/>
        <v>0.12635761193224337</v>
      </c>
      <c r="M190" s="39">
        <f t="shared" si="96"/>
        <v>9.6880745753003622E-2</v>
      </c>
      <c r="N190" s="39">
        <f t="shared" si="96"/>
        <v>6.3354696422263074E-2</v>
      </c>
      <c r="O190" s="39">
        <f t="shared" si="96"/>
        <v>9.0163026871058996E-2</v>
      </c>
      <c r="P190" s="39">
        <f t="shared" si="96"/>
        <v>8.9951086994134788E-2</v>
      </c>
      <c r="Q190" s="39">
        <f t="shared" si="96"/>
        <v>9.1426870727095419E-2</v>
      </c>
      <c r="R190" s="39">
        <f t="shared" si="96"/>
        <v>8.9792371571774193E-2</v>
      </c>
      <c r="S190" s="39">
        <f t="shared" si="96"/>
        <v>9.8259211722118642E-2</v>
      </c>
      <c r="T190" s="39">
        <f t="shared" si="96"/>
        <v>0.17332014946122773</v>
      </c>
      <c r="U190" s="39">
        <f t="shared" si="96"/>
        <v>0.14321297391868254</v>
      </c>
      <c r="V190" s="39">
        <f t="shared" si="96"/>
        <v>8.3526420969281548E-2</v>
      </c>
      <c r="W190" s="39">
        <f t="shared" si="96"/>
        <v>0.11138130938475749</v>
      </c>
      <c r="X190" s="39">
        <f t="shared" si="96"/>
        <v>0.20506956982803246</v>
      </c>
    </row>
    <row r="191" spans="2:59" x14ac:dyDescent="0.25">
      <c r="C191" s="31" t="str">
        <f t="shared" si="88"/>
        <v>Interest on shirika loan</v>
      </c>
      <c r="D191" s="31"/>
      <c r="E191" s="31" t="s">
        <v>292</v>
      </c>
      <c r="F191" s="31"/>
      <c r="G191" s="31"/>
      <c r="H191" s="31"/>
      <c r="I191" s="39">
        <f t="shared" ref="I191:X191" si="97">I15/I$55</f>
        <v>1.4036822426503491E-5</v>
      </c>
      <c r="J191" s="39">
        <f t="shared" si="97"/>
        <v>0</v>
      </c>
      <c r="K191" s="39">
        <f t="shared" si="97"/>
        <v>6.7152571098355676E-6</v>
      </c>
      <c r="L191" s="39">
        <f t="shared" si="97"/>
        <v>3.3556989486192889E-3</v>
      </c>
      <c r="M191" s="39">
        <f t="shared" si="97"/>
        <v>7.0853881865953934E-4</v>
      </c>
      <c r="N191" s="39">
        <f t="shared" si="97"/>
        <v>1.8583022519536307E-2</v>
      </c>
      <c r="O191" s="39">
        <f t="shared" si="97"/>
        <v>1.0584372415091343E-2</v>
      </c>
      <c r="P191" s="39">
        <f t="shared" si="97"/>
        <v>8.5305680294147368E-3</v>
      </c>
      <c r="Q191" s="39">
        <f t="shared" si="97"/>
        <v>0</v>
      </c>
      <c r="R191" s="39">
        <f t="shared" si="97"/>
        <v>0</v>
      </c>
      <c r="S191" s="39">
        <f t="shared" si="97"/>
        <v>1.4943576665041394E-3</v>
      </c>
      <c r="T191" s="39">
        <f t="shared" si="97"/>
        <v>0</v>
      </c>
      <c r="U191" s="39">
        <f t="shared" si="97"/>
        <v>1.0175300353477379E-4</v>
      </c>
      <c r="V191" s="39">
        <f t="shared" si="97"/>
        <v>0</v>
      </c>
      <c r="W191" s="39">
        <f t="shared" si="97"/>
        <v>3.7483850826336755E-2</v>
      </c>
      <c r="X191" s="39">
        <f t="shared" si="97"/>
        <v>1.2167412962841347E-3</v>
      </c>
    </row>
    <row r="192" spans="2:59" x14ac:dyDescent="0.25">
      <c r="C192" s="31" t="str">
        <f t="shared" si="88"/>
        <v>Interest on bonus advance loan</v>
      </c>
      <c r="D192" s="31"/>
      <c r="E192" s="31" t="s">
        <v>292</v>
      </c>
      <c r="F192" s="31"/>
      <c r="G192" s="31"/>
      <c r="H192" s="31"/>
      <c r="I192" s="39">
        <f t="shared" ref="I192:X192" si="98">I16/I$55</f>
        <v>0</v>
      </c>
      <c r="J192" s="39">
        <f t="shared" si="98"/>
        <v>2.9183424373340108E-2</v>
      </c>
      <c r="K192" s="39">
        <f t="shared" si="98"/>
        <v>0.12379208741711568</v>
      </c>
      <c r="L192" s="39">
        <f t="shared" si="98"/>
        <v>6.5779380739281043E-3</v>
      </c>
      <c r="M192" s="39">
        <f t="shared" si="98"/>
        <v>1.7966505797417209E-3</v>
      </c>
      <c r="N192" s="39">
        <f t="shared" si="98"/>
        <v>0</v>
      </c>
      <c r="O192" s="39">
        <f t="shared" si="98"/>
        <v>0</v>
      </c>
      <c r="P192" s="39">
        <f t="shared" si="98"/>
        <v>0</v>
      </c>
      <c r="Q192" s="39">
        <f t="shared" si="98"/>
        <v>0</v>
      </c>
      <c r="R192" s="39">
        <f t="shared" si="98"/>
        <v>0</v>
      </c>
      <c r="S192" s="39">
        <f t="shared" si="98"/>
        <v>0</v>
      </c>
      <c r="T192" s="39">
        <f t="shared" si="98"/>
        <v>0</v>
      </c>
      <c r="U192" s="39">
        <f t="shared" si="98"/>
        <v>0</v>
      </c>
      <c r="V192" s="39">
        <f t="shared" si="98"/>
        <v>0</v>
      </c>
      <c r="W192" s="39">
        <f t="shared" si="98"/>
        <v>2.9478794034718193E-2</v>
      </c>
      <c r="X192" s="39">
        <f t="shared" si="98"/>
        <v>1.5909804850242983E-2</v>
      </c>
    </row>
    <row r="193" spans="3:24" x14ac:dyDescent="0.25">
      <c r="C193" s="31" t="str">
        <f t="shared" si="88"/>
        <v>Interest on Premium Financing</v>
      </c>
      <c r="D193" s="31"/>
      <c r="E193" s="31" t="s">
        <v>292</v>
      </c>
      <c r="F193" s="31"/>
      <c r="G193" s="31"/>
      <c r="H193" s="31"/>
      <c r="I193" s="39">
        <f t="shared" ref="I193:X193" si="99">I17/I$55</f>
        <v>8.4446590454806899E-5</v>
      </c>
      <c r="J193" s="39">
        <f t="shared" si="99"/>
        <v>3.9525582898723488E-4</v>
      </c>
      <c r="K193" s="39">
        <f t="shared" si="99"/>
        <v>1.1523289836435523E-4</v>
      </c>
      <c r="L193" s="39">
        <f t="shared" si="99"/>
        <v>1.3192498180141993E-4</v>
      </c>
      <c r="M193" s="39">
        <f t="shared" si="99"/>
        <v>0</v>
      </c>
      <c r="N193" s="39">
        <f t="shared" si="99"/>
        <v>3.2001996004732844E-6</v>
      </c>
      <c r="O193" s="39">
        <f t="shared" si="99"/>
        <v>0</v>
      </c>
      <c r="P193" s="39">
        <f t="shared" si="99"/>
        <v>5.1217095733748972E-4</v>
      </c>
      <c r="Q193" s="39">
        <f t="shared" si="99"/>
        <v>8.7403789956867518E-6</v>
      </c>
      <c r="R193" s="39">
        <f t="shared" si="99"/>
        <v>2.8377615352423365E-4</v>
      </c>
      <c r="S193" s="39">
        <f t="shared" si="99"/>
        <v>1.5160208380454076E-4</v>
      </c>
      <c r="T193" s="39">
        <f t="shared" si="99"/>
        <v>2.0127397861244233E-4</v>
      </c>
      <c r="U193" s="39">
        <f t="shared" si="99"/>
        <v>5.598972581401628E-3</v>
      </c>
      <c r="V193" s="39">
        <f t="shared" si="99"/>
        <v>0</v>
      </c>
      <c r="W193" s="39">
        <f t="shared" si="99"/>
        <v>5.4517408303062388E-4</v>
      </c>
      <c r="X193" s="39">
        <f t="shared" si="99"/>
        <v>0</v>
      </c>
    </row>
    <row r="194" spans="3:24" x14ac:dyDescent="0.25">
      <c r="C194" s="31" t="str">
        <f t="shared" si="88"/>
        <v>Interest on MFI loan</v>
      </c>
      <c r="E194" s="31" t="s">
        <v>292</v>
      </c>
      <c r="I194" s="39">
        <f t="shared" ref="I194:X194" si="100">I18/I$55</f>
        <v>2.9757448119017075E-3</v>
      </c>
      <c r="J194" s="39">
        <f t="shared" si="100"/>
        <v>4.9561753109537204E-3</v>
      </c>
      <c r="K194" s="39">
        <f t="shared" si="100"/>
        <v>8.6384702004755503E-4</v>
      </c>
      <c r="L194" s="39">
        <f t="shared" si="100"/>
        <v>2.832644594027639E-2</v>
      </c>
      <c r="M194" s="39">
        <f t="shared" si="100"/>
        <v>2.6518565429216059E-3</v>
      </c>
      <c r="N194" s="39">
        <f t="shared" si="100"/>
        <v>2.6609295583370038E-2</v>
      </c>
      <c r="O194" s="39">
        <f t="shared" si="100"/>
        <v>5.6097450768059137E-2</v>
      </c>
      <c r="P194" s="39">
        <f t="shared" si="100"/>
        <v>3.4629054961944912E-2</v>
      </c>
      <c r="Q194" s="39">
        <f t="shared" si="100"/>
        <v>1.6832298990884686E-2</v>
      </c>
      <c r="R194" s="39">
        <f t="shared" si="100"/>
        <v>2.1717521769003285E-3</v>
      </c>
      <c r="S194" s="39">
        <f t="shared" si="100"/>
        <v>5.6889895486430067E-4</v>
      </c>
      <c r="T194" s="39">
        <f t="shared" si="100"/>
        <v>0</v>
      </c>
      <c r="U194" s="39">
        <f t="shared" si="100"/>
        <v>0</v>
      </c>
      <c r="V194" s="39">
        <f t="shared" si="100"/>
        <v>0</v>
      </c>
      <c r="W194" s="39">
        <f t="shared" si="100"/>
        <v>0</v>
      </c>
      <c r="X194" s="39">
        <f t="shared" si="100"/>
        <v>0</v>
      </c>
    </row>
    <row r="195" spans="3:24" x14ac:dyDescent="0.25">
      <c r="C195" s="31" t="str">
        <f t="shared" si="88"/>
        <v>Interest on Jijenge Loan</v>
      </c>
      <c r="E195" s="31" t="s">
        <v>292</v>
      </c>
      <c r="I195" s="39">
        <f t="shared" ref="I195:X195" si="101">I19/I$55</f>
        <v>0.30444084648655051</v>
      </c>
      <c r="J195" s="39">
        <f t="shared" si="101"/>
        <v>5.6273985451873919E-2</v>
      </c>
      <c r="K195" s="39">
        <f t="shared" si="101"/>
        <v>7.7999949749776726E-2</v>
      </c>
      <c r="L195" s="39">
        <f t="shared" si="101"/>
        <v>7.2243811929516372E-2</v>
      </c>
      <c r="M195" s="39">
        <f t="shared" si="101"/>
        <v>8.8251598706182446E-2</v>
      </c>
      <c r="N195" s="39">
        <f t="shared" si="101"/>
        <v>0.10071436311860026</v>
      </c>
      <c r="O195" s="39">
        <f t="shared" si="101"/>
        <v>9.3649746153612878E-2</v>
      </c>
      <c r="P195" s="39">
        <f t="shared" si="101"/>
        <v>0.14654465050281207</v>
      </c>
      <c r="Q195" s="39">
        <f t="shared" si="101"/>
        <v>0.17515715222856743</v>
      </c>
      <c r="R195" s="39">
        <f t="shared" si="101"/>
        <v>0.19055700013921176</v>
      </c>
      <c r="S195" s="39">
        <f t="shared" si="101"/>
        <v>9.0214673204237414E-3</v>
      </c>
      <c r="T195" s="39">
        <f t="shared" si="101"/>
        <v>0.40356489706154458</v>
      </c>
      <c r="U195" s="39">
        <f t="shared" si="101"/>
        <v>1.0835338686383448E-2</v>
      </c>
      <c r="V195" s="39">
        <f t="shared" si="101"/>
        <v>0.17737427540042747</v>
      </c>
      <c r="W195" s="39">
        <f t="shared" si="101"/>
        <v>0.10020852113202142</v>
      </c>
      <c r="X195" s="39">
        <f t="shared" si="101"/>
        <v>8.4594655142711417E-2</v>
      </c>
    </row>
    <row r="196" spans="3:24" x14ac:dyDescent="0.25">
      <c r="C196" s="31" t="str">
        <f t="shared" si="88"/>
        <v>Interest on Soko loan</v>
      </c>
      <c r="E196" s="31" t="s">
        <v>292</v>
      </c>
      <c r="I196" s="39">
        <f t="shared" ref="I196:X196" si="102">I20/I$55</f>
        <v>0</v>
      </c>
      <c r="J196" s="39">
        <f t="shared" si="102"/>
        <v>0</v>
      </c>
      <c r="K196" s="39">
        <f t="shared" si="102"/>
        <v>0</v>
      </c>
      <c r="L196" s="39">
        <f t="shared" si="102"/>
        <v>0</v>
      </c>
      <c r="M196" s="39">
        <f t="shared" si="102"/>
        <v>0</v>
      </c>
      <c r="N196" s="39">
        <f t="shared" si="102"/>
        <v>0</v>
      </c>
      <c r="O196" s="39">
        <f t="shared" si="102"/>
        <v>0</v>
      </c>
      <c r="P196" s="39">
        <f t="shared" si="102"/>
        <v>0</v>
      </c>
      <c r="Q196" s="39">
        <f t="shared" si="102"/>
        <v>0</v>
      </c>
      <c r="R196" s="39">
        <f t="shared" si="102"/>
        <v>0</v>
      </c>
      <c r="S196" s="39">
        <f t="shared" si="102"/>
        <v>1.8534046763084896E-5</v>
      </c>
      <c r="T196" s="39">
        <f t="shared" si="102"/>
        <v>0</v>
      </c>
      <c r="U196" s="39">
        <f t="shared" si="102"/>
        <v>0</v>
      </c>
      <c r="V196" s="39">
        <f t="shared" si="102"/>
        <v>0</v>
      </c>
      <c r="W196" s="39">
        <f t="shared" si="102"/>
        <v>0</v>
      </c>
      <c r="X196" s="39">
        <f t="shared" si="102"/>
        <v>0</v>
      </c>
    </row>
    <row r="197" spans="3:24" x14ac:dyDescent="0.25">
      <c r="C197" s="31" t="str">
        <f t="shared" si="88"/>
        <v>Interest on Inuka loan</v>
      </c>
      <c r="E197" s="31" t="s">
        <v>292</v>
      </c>
      <c r="I197" s="39">
        <f t="shared" ref="I197:X197" si="103">I21/I$55</f>
        <v>1.0667990172685738E-2</v>
      </c>
      <c r="J197" s="39">
        <f t="shared" si="103"/>
        <v>5.6294815299395645E-2</v>
      </c>
      <c r="K197" s="39">
        <f t="shared" si="103"/>
        <v>5.8923708740569521E-2</v>
      </c>
      <c r="L197" s="39">
        <f t="shared" si="103"/>
        <v>2.6147684877192334E-2</v>
      </c>
      <c r="M197" s="39">
        <f t="shared" si="103"/>
        <v>2.775615273577986E-2</v>
      </c>
      <c r="N197" s="39">
        <f t="shared" si="103"/>
        <v>4.3834877749021756E-3</v>
      </c>
      <c r="O197" s="39">
        <f t="shared" si="103"/>
        <v>1.3545245350344638E-2</v>
      </c>
      <c r="P197" s="39">
        <f t="shared" si="103"/>
        <v>3.1181278844773393E-2</v>
      </c>
      <c r="Q197" s="39">
        <f t="shared" si="103"/>
        <v>1.5629061571642681E-2</v>
      </c>
      <c r="R197" s="39">
        <f t="shared" si="103"/>
        <v>4.929453678741315E-4</v>
      </c>
      <c r="S197" s="39">
        <f t="shared" si="103"/>
        <v>2.0746498449197735E-3</v>
      </c>
      <c r="T197" s="39">
        <f t="shared" si="103"/>
        <v>7.5827106431209865E-3</v>
      </c>
      <c r="U197" s="39">
        <f t="shared" si="103"/>
        <v>7.3587648161827727E-3</v>
      </c>
      <c r="V197" s="39">
        <f t="shared" si="103"/>
        <v>3.6992889448083842E-2</v>
      </c>
      <c r="W197" s="39">
        <f t="shared" si="103"/>
        <v>1.4942489216824948E-2</v>
      </c>
      <c r="X197" s="39">
        <f t="shared" si="103"/>
        <v>1.9661166106630951E-2</v>
      </c>
    </row>
    <row r="198" spans="3:24" x14ac:dyDescent="0.25">
      <c r="C198" s="31" t="str">
        <f t="shared" si="88"/>
        <v>Interest on youthbiz loan</v>
      </c>
      <c r="E198" s="31" t="s">
        <v>292</v>
      </c>
      <c r="I198" s="39">
        <f t="shared" ref="I198:X198" si="104">I22/I$55</f>
        <v>0</v>
      </c>
      <c r="J198" s="39">
        <f t="shared" si="104"/>
        <v>0</v>
      </c>
      <c r="K198" s="39">
        <f t="shared" si="104"/>
        <v>0</v>
      </c>
      <c r="L198" s="39">
        <f t="shared" si="104"/>
        <v>0</v>
      </c>
      <c r="M198" s="39">
        <f t="shared" si="104"/>
        <v>0</v>
      </c>
      <c r="N198" s="39">
        <f t="shared" si="104"/>
        <v>0</v>
      </c>
      <c r="O198" s="39">
        <f t="shared" si="104"/>
        <v>0</v>
      </c>
      <c r="P198" s="39">
        <f t="shared" si="104"/>
        <v>0</v>
      </c>
      <c r="Q198" s="39">
        <f t="shared" si="104"/>
        <v>0</v>
      </c>
      <c r="R198" s="39">
        <f t="shared" si="104"/>
        <v>0</v>
      </c>
      <c r="S198" s="39">
        <f t="shared" si="104"/>
        <v>3.1182931924125302E-3</v>
      </c>
      <c r="T198" s="39">
        <f t="shared" si="104"/>
        <v>2.4517262331202171E-3</v>
      </c>
      <c r="U198" s="39">
        <f t="shared" si="104"/>
        <v>0</v>
      </c>
      <c r="V198" s="39">
        <f t="shared" si="104"/>
        <v>1.8902200639413851E-3</v>
      </c>
      <c r="W198" s="39">
        <f t="shared" si="104"/>
        <v>2.1692921947521425E-3</v>
      </c>
      <c r="X198" s="39">
        <f t="shared" si="104"/>
        <v>4.4581578421306521E-2</v>
      </c>
    </row>
    <row r="199" spans="3:24" x14ac:dyDescent="0.25">
      <c r="C199" s="31" t="str">
        <f t="shared" si="88"/>
        <v>Interest on Kwamua Biashara</v>
      </c>
      <c r="E199" s="31" t="s">
        <v>292</v>
      </c>
      <c r="I199" s="39">
        <f t="shared" ref="I199:X199" si="105">I23/I$55</f>
        <v>2.1945902588965477E-2</v>
      </c>
      <c r="J199" s="39">
        <f t="shared" si="105"/>
        <v>9.1629736902135508E-3</v>
      </c>
      <c r="K199" s="39">
        <f t="shared" si="105"/>
        <v>4.8759618920579525E-3</v>
      </c>
      <c r="L199" s="39">
        <f t="shared" si="105"/>
        <v>5.0496303494848391E-2</v>
      </c>
      <c r="M199" s="39">
        <f t="shared" si="105"/>
        <v>1.738098611063817E-2</v>
      </c>
      <c r="N199" s="39">
        <f t="shared" si="105"/>
        <v>4.724784271574687E-2</v>
      </c>
      <c r="O199" s="39">
        <f t="shared" si="105"/>
        <v>5.8311745028654639E-2</v>
      </c>
      <c r="P199" s="39">
        <f t="shared" si="105"/>
        <v>3.4429031140480876E-2</v>
      </c>
      <c r="Q199" s="39">
        <f t="shared" si="105"/>
        <v>3.4732081034110227E-2</v>
      </c>
      <c r="R199" s="39">
        <f t="shared" si="105"/>
        <v>5.0451066321723061E-2</v>
      </c>
      <c r="S199" s="39">
        <f t="shared" si="105"/>
        <v>2.4229294561284271E-2</v>
      </c>
      <c r="T199" s="39">
        <f t="shared" si="105"/>
        <v>4.2272876111693815E-2</v>
      </c>
      <c r="U199" s="39">
        <f t="shared" si="105"/>
        <v>6.010820381847326E-2</v>
      </c>
      <c r="V199" s="39">
        <f t="shared" si="105"/>
        <v>0.15869767552624633</v>
      </c>
      <c r="W199" s="39">
        <f t="shared" si="105"/>
        <v>2.7790108794625762E-2</v>
      </c>
      <c r="X199" s="39">
        <f t="shared" si="105"/>
        <v>7.0861932647461837E-2</v>
      </c>
    </row>
    <row r="200" spans="3:24" x14ac:dyDescent="0.25">
      <c r="C200" s="31" t="str">
        <f t="shared" si="88"/>
        <v>Interest on Uni-Mobiloan</v>
      </c>
      <c r="E200" s="31" t="s">
        <v>292</v>
      </c>
      <c r="I200" s="39">
        <f t="shared" ref="I200:X200" si="106">I24/I$55</f>
        <v>2.1857973717755247E-2</v>
      </c>
      <c r="J200" s="39">
        <f t="shared" si="106"/>
        <v>7.7389297292015284E-3</v>
      </c>
      <c r="K200" s="39">
        <f t="shared" si="106"/>
        <v>9.3599948836136301E-3</v>
      </c>
      <c r="L200" s="39">
        <f t="shared" si="106"/>
        <v>1.5000648559772546E-2</v>
      </c>
      <c r="M200" s="39">
        <f t="shared" si="106"/>
        <v>8.3313448471602769E-3</v>
      </c>
      <c r="N200" s="39">
        <f t="shared" si="106"/>
        <v>9.040851314414915E-3</v>
      </c>
      <c r="O200" s="39">
        <f t="shared" si="106"/>
        <v>1.0600036082577395E-2</v>
      </c>
      <c r="P200" s="39">
        <f t="shared" si="106"/>
        <v>1.9280627812188138E-2</v>
      </c>
      <c r="Q200" s="39">
        <f t="shared" si="106"/>
        <v>1.2361723669576143E-2</v>
      </c>
      <c r="R200" s="39">
        <f t="shared" si="106"/>
        <v>2.5605735805592139E-2</v>
      </c>
      <c r="S200" s="39">
        <f t="shared" si="106"/>
        <v>1.4440228862581598E-2</v>
      </c>
      <c r="T200" s="39">
        <f t="shared" si="106"/>
        <v>3.2969378650872426E-2</v>
      </c>
      <c r="U200" s="39">
        <f t="shared" si="106"/>
        <v>2.4345394177031316E-2</v>
      </c>
      <c r="V200" s="39">
        <f t="shared" si="106"/>
        <v>1.5328786125791081E-2</v>
      </c>
      <c r="W200" s="39">
        <f t="shared" si="106"/>
        <v>1.3852788693132882E-2</v>
      </c>
      <c r="X200" s="39">
        <f t="shared" si="106"/>
        <v>8.102175340029294E-2</v>
      </c>
    </row>
    <row r="201" spans="3:24" s="18" customFormat="1" x14ac:dyDescent="0.25">
      <c r="C201" s="19" t="str">
        <f t="shared" si="88"/>
        <v>Total interest on loan Portfolio</v>
      </c>
      <c r="E201" s="31" t="s">
        <v>292</v>
      </c>
      <c r="I201" s="64">
        <f t="shared" ref="I201:X201" si="107">I25/I$55</f>
        <v>0.92188360617609932</v>
      </c>
      <c r="J201" s="64">
        <f t="shared" si="107"/>
        <v>0.70069269810859192</v>
      </c>
      <c r="K201" s="64">
        <f t="shared" si="107"/>
        <v>0.58666646871124162</v>
      </c>
      <c r="L201" s="64">
        <f t="shared" si="107"/>
        <v>0.82038852763796244</v>
      </c>
      <c r="M201" s="64">
        <f t="shared" si="107"/>
        <v>0.64787997481502613</v>
      </c>
      <c r="N201" s="64">
        <f t="shared" si="107"/>
        <v>0.83979764390574207</v>
      </c>
      <c r="O201" s="64">
        <f t="shared" si="107"/>
        <v>0.79006043546324312</v>
      </c>
      <c r="P201" s="64">
        <f t="shared" si="107"/>
        <v>0.77491694958473767</v>
      </c>
      <c r="Q201" s="64">
        <f t="shared" si="107"/>
        <v>0.87168855853112615</v>
      </c>
      <c r="R201" s="64">
        <f t="shared" si="107"/>
        <v>0.88100960939959605</v>
      </c>
      <c r="S201" s="64">
        <f t="shared" si="107"/>
        <v>0.85916090192287931</v>
      </c>
      <c r="T201" s="64">
        <f t="shared" si="107"/>
        <v>0.88633833677375728</v>
      </c>
      <c r="U201" s="64">
        <f t="shared" si="107"/>
        <v>0.81801331949141165</v>
      </c>
      <c r="V201" s="64">
        <f t="shared" si="107"/>
        <v>0.8622478711011532</v>
      </c>
      <c r="W201" s="64">
        <f t="shared" si="107"/>
        <v>0.84767510609437946</v>
      </c>
      <c r="X201" s="64">
        <f t="shared" si="107"/>
        <v>0.80960854477761579</v>
      </c>
    </row>
    <row r="202" spans="3:24" x14ac:dyDescent="0.25">
      <c r="C202" s="31">
        <f t="shared" si="88"/>
        <v>0</v>
      </c>
    </row>
    <row r="203" spans="3:24" x14ac:dyDescent="0.25">
      <c r="C203" s="31" t="str">
        <f t="shared" si="88"/>
        <v>Loan Processing fee</v>
      </c>
      <c r="E203" s="31" t="s">
        <v>292</v>
      </c>
      <c r="I203" s="39">
        <f t="shared" ref="I203:X203" si="108">I27/I$55</f>
        <v>9.3683147838203688E-3</v>
      </c>
      <c r="J203" s="39">
        <f t="shared" si="108"/>
        <v>4.6836343539978396E-3</v>
      </c>
      <c r="K203" s="39">
        <f t="shared" si="108"/>
        <v>1.0922571258242749E-2</v>
      </c>
      <c r="L203" s="39">
        <f t="shared" si="108"/>
        <v>8.3052772634075716E-3</v>
      </c>
      <c r="M203" s="39">
        <f t="shared" si="108"/>
        <v>5.2467711606709487E-3</v>
      </c>
      <c r="N203" s="39">
        <f t="shared" si="108"/>
        <v>5.8799356012528298E-3</v>
      </c>
      <c r="O203" s="39">
        <f t="shared" si="108"/>
        <v>5.6591314788318305E-3</v>
      </c>
      <c r="P203" s="39">
        <f t="shared" si="108"/>
        <v>6.1449770256231792E-3</v>
      </c>
      <c r="Q203" s="39">
        <f t="shared" si="108"/>
        <v>3.8624977286796985E-3</v>
      </c>
      <c r="R203" s="39">
        <f t="shared" si="108"/>
        <v>4.4414017454235304E-3</v>
      </c>
      <c r="S203" s="39">
        <f t="shared" si="108"/>
        <v>4.8942720889531546E-3</v>
      </c>
      <c r="T203" s="39">
        <f t="shared" si="108"/>
        <v>6.2529561072522163E-3</v>
      </c>
      <c r="U203" s="39">
        <f t="shared" si="108"/>
        <v>5.1070243205952725E-3</v>
      </c>
      <c r="V203" s="39">
        <f t="shared" si="108"/>
        <v>8.4302608260782425E-3</v>
      </c>
      <c r="W203" s="39">
        <f t="shared" si="108"/>
        <v>8.2363214341437674E-3</v>
      </c>
      <c r="X203" s="39">
        <f t="shared" si="108"/>
        <v>1.0350858002620499E-2</v>
      </c>
    </row>
    <row r="204" spans="3:24" x14ac:dyDescent="0.25">
      <c r="C204" s="31" t="str">
        <f t="shared" si="88"/>
        <v>Other loan recovey inome</v>
      </c>
      <c r="E204" s="31" t="s">
        <v>292</v>
      </c>
      <c r="I204" s="39">
        <f t="shared" ref="I204:X204" si="109">I28/I$55</f>
        <v>6.5407899956484311E-4</v>
      </c>
      <c r="J204" s="39">
        <f t="shared" si="109"/>
        <v>1.2344526335361559E-3</v>
      </c>
      <c r="K204" s="39">
        <f t="shared" si="109"/>
        <v>6.9893492367676313E-4</v>
      </c>
      <c r="L204" s="39">
        <f t="shared" si="109"/>
        <v>2.7908951202819596E-3</v>
      </c>
      <c r="M204" s="39">
        <f t="shared" si="109"/>
        <v>3.2146616912439517E-4</v>
      </c>
      <c r="N204" s="39">
        <f t="shared" si="109"/>
        <v>7.0726327457645507E-4</v>
      </c>
      <c r="O204" s="39">
        <f t="shared" si="109"/>
        <v>4.0757349364245514E-4</v>
      </c>
      <c r="P204" s="39">
        <f t="shared" si="109"/>
        <v>1.288628069806307E-3</v>
      </c>
      <c r="Q204" s="39">
        <f t="shared" si="109"/>
        <v>0</v>
      </c>
      <c r="R204" s="39">
        <f t="shared" si="109"/>
        <v>2.6117451297805574E-5</v>
      </c>
      <c r="S204" s="39">
        <f t="shared" si="109"/>
        <v>4.0083687238682978E-3</v>
      </c>
      <c r="T204" s="39">
        <f t="shared" si="109"/>
        <v>0</v>
      </c>
      <c r="U204" s="39">
        <f t="shared" si="109"/>
        <v>5.0372774027115745E-4</v>
      </c>
      <c r="V204" s="39">
        <f t="shared" si="109"/>
        <v>0</v>
      </c>
      <c r="W204" s="39">
        <f t="shared" si="109"/>
        <v>2.4407669808942968E-3</v>
      </c>
      <c r="X204" s="39">
        <f t="shared" si="109"/>
        <v>0</v>
      </c>
    </row>
    <row r="205" spans="3:24" x14ac:dyDescent="0.25">
      <c r="C205" s="31" t="str">
        <f t="shared" si="88"/>
        <v>Ledger fee on loans</v>
      </c>
      <c r="E205" s="31" t="s">
        <v>292</v>
      </c>
      <c r="I205" s="39">
        <f t="shared" ref="I205:X205" si="110">I29/I$55</f>
        <v>1.1586819951981452E-2</v>
      </c>
      <c r="J205" s="39">
        <f t="shared" si="110"/>
        <v>1.4537699748388862E-2</v>
      </c>
      <c r="K205" s="39">
        <f t="shared" si="110"/>
        <v>1.3628865555527638E-2</v>
      </c>
      <c r="L205" s="39">
        <f t="shared" si="110"/>
        <v>2.7871240503882042E-2</v>
      </c>
      <c r="M205" s="39">
        <f t="shared" si="110"/>
        <v>1.1080306640365141E-2</v>
      </c>
      <c r="N205" s="39">
        <f t="shared" si="110"/>
        <v>2.3767269220815592E-2</v>
      </c>
      <c r="O205" s="39">
        <f t="shared" si="110"/>
        <v>1.0597051190147257E-2</v>
      </c>
      <c r="P205" s="39">
        <f t="shared" si="110"/>
        <v>2.4548464275593797E-2</v>
      </c>
      <c r="Q205" s="39">
        <f t="shared" si="110"/>
        <v>2.1558251905349064E-2</v>
      </c>
      <c r="R205" s="39">
        <f t="shared" si="110"/>
        <v>1.6748820162075431E-2</v>
      </c>
      <c r="S205" s="39">
        <f t="shared" si="110"/>
        <v>2.5487563774972924E-2</v>
      </c>
      <c r="T205" s="39">
        <f t="shared" si="110"/>
        <v>2.040611058453012E-2</v>
      </c>
      <c r="U205" s="39">
        <f t="shared" si="110"/>
        <v>2.2671778134124253E-2</v>
      </c>
      <c r="V205" s="39">
        <f t="shared" si="110"/>
        <v>1.8690809070865393E-2</v>
      </c>
      <c r="W205" s="39">
        <f t="shared" si="110"/>
        <v>3.0904536472923325E-2</v>
      </c>
      <c r="X205" s="39">
        <f t="shared" si="110"/>
        <v>2.3470982905722963E-2</v>
      </c>
    </row>
    <row r="206" spans="3:24" x14ac:dyDescent="0.25">
      <c r="C206" s="31" t="str">
        <f t="shared" si="88"/>
        <v>Ledger fee on MFI loan</v>
      </c>
      <c r="E206" s="31" t="s">
        <v>292</v>
      </c>
      <c r="I206" s="39">
        <f t="shared" ref="I206:X206" si="111">I30/I$55</f>
        <v>7.6482475896488562E-4</v>
      </c>
      <c r="J206" s="39">
        <f t="shared" si="111"/>
        <v>1.1378172966552784E-3</v>
      </c>
      <c r="K206" s="39">
        <f t="shared" si="111"/>
        <v>3.0883330402070309E-4</v>
      </c>
      <c r="L206" s="39">
        <f t="shared" si="111"/>
        <v>5.7463930689127416E-3</v>
      </c>
      <c r="M206" s="39">
        <f t="shared" si="111"/>
        <v>9.8562906123102353E-4</v>
      </c>
      <c r="N206" s="39">
        <f t="shared" si="111"/>
        <v>6.0606989714999228E-3</v>
      </c>
      <c r="O206" s="39">
        <f t="shared" si="111"/>
        <v>1.1865546259689778E-2</v>
      </c>
      <c r="P206" s="39">
        <f t="shared" si="111"/>
        <v>9.4150086157665791E-3</v>
      </c>
      <c r="Q206" s="39">
        <f t="shared" si="111"/>
        <v>3.1754782326216735E-3</v>
      </c>
      <c r="R206" s="39">
        <f t="shared" si="111"/>
        <v>5.6343378588227485E-4</v>
      </c>
      <c r="S206" s="39">
        <f t="shared" si="111"/>
        <v>0</v>
      </c>
      <c r="T206" s="39">
        <f t="shared" si="111"/>
        <v>0</v>
      </c>
      <c r="U206" s="39">
        <f t="shared" si="111"/>
        <v>0</v>
      </c>
      <c r="V206" s="39">
        <f t="shared" si="111"/>
        <v>0</v>
      </c>
      <c r="W206" s="39">
        <f t="shared" si="111"/>
        <v>2.7032029322318006E-5</v>
      </c>
      <c r="X206" s="39">
        <f t="shared" si="111"/>
        <v>0</v>
      </c>
    </row>
    <row r="207" spans="3:24" x14ac:dyDescent="0.25">
      <c r="C207" s="31" t="str">
        <f t="shared" si="88"/>
        <v>MFI loan procesing fee</v>
      </c>
      <c r="E207" s="31" t="s">
        <v>292</v>
      </c>
      <c r="I207" s="39">
        <f t="shared" ref="I207:X207" si="112">I31/I$55</f>
        <v>3.8464073145332913E-6</v>
      </c>
      <c r="J207" s="39">
        <f t="shared" si="112"/>
        <v>4.7475435946956664E-5</v>
      </c>
      <c r="K207" s="39">
        <f t="shared" si="112"/>
        <v>0</v>
      </c>
      <c r="L207" s="39">
        <f t="shared" si="112"/>
        <v>2.4985792007844684E-4</v>
      </c>
      <c r="M207" s="39">
        <f t="shared" si="112"/>
        <v>4.7870470930863967E-5</v>
      </c>
      <c r="N207" s="39">
        <f t="shared" si="112"/>
        <v>3.6792713969513213E-4</v>
      </c>
      <c r="O207" s="39">
        <f t="shared" si="112"/>
        <v>6.3347090131765031E-4</v>
      </c>
      <c r="P207" s="39">
        <f t="shared" si="112"/>
        <v>4.8666827562148093E-4</v>
      </c>
      <c r="Q207" s="39">
        <f t="shared" si="112"/>
        <v>1.1139698719992919E-4</v>
      </c>
      <c r="R207" s="39">
        <f t="shared" si="112"/>
        <v>1.148019837266179E-5</v>
      </c>
      <c r="S207" s="39">
        <f t="shared" si="112"/>
        <v>0</v>
      </c>
      <c r="T207" s="39">
        <f t="shared" si="112"/>
        <v>0</v>
      </c>
      <c r="U207" s="39">
        <f t="shared" si="112"/>
        <v>0</v>
      </c>
      <c r="V207" s="39">
        <f t="shared" si="112"/>
        <v>0</v>
      </c>
      <c r="W207" s="39">
        <f t="shared" si="112"/>
        <v>1.1263345550965836E-5</v>
      </c>
      <c r="X207" s="39">
        <f t="shared" si="112"/>
        <v>0</v>
      </c>
    </row>
    <row r="208" spans="3:24" x14ac:dyDescent="0.25">
      <c r="C208" s="31" t="str">
        <f t="shared" si="88"/>
        <v>MFI other incomes</v>
      </c>
      <c r="E208" s="31" t="s">
        <v>292</v>
      </c>
      <c r="I208" s="39">
        <f t="shared" ref="I208:X208" si="113">I32/I$55</f>
        <v>2.5642715430221939E-6</v>
      </c>
      <c r="J208" s="39">
        <f t="shared" si="113"/>
        <v>0</v>
      </c>
      <c r="K208" s="39">
        <f t="shared" si="113"/>
        <v>0</v>
      </c>
      <c r="L208" s="39">
        <f t="shared" si="113"/>
        <v>3.8549507669246083E-4</v>
      </c>
      <c r="M208" s="39">
        <f t="shared" si="113"/>
        <v>1.1967617732715992E-5</v>
      </c>
      <c r="N208" s="39">
        <f t="shared" si="113"/>
        <v>2.2037302637989686E-4</v>
      </c>
      <c r="O208" s="39">
        <f t="shared" si="113"/>
        <v>4.0141656819094832E-4</v>
      </c>
      <c r="P208" s="39">
        <f t="shared" si="113"/>
        <v>2.2911331157504783E-4</v>
      </c>
      <c r="Q208" s="39">
        <f t="shared" si="113"/>
        <v>2.142249753844792E-5</v>
      </c>
      <c r="R208" s="39">
        <f t="shared" si="113"/>
        <v>0</v>
      </c>
      <c r="S208" s="39">
        <f t="shared" si="113"/>
        <v>0</v>
      </c>
      <c r="T208" s="39">
        <f t="shared" si="113"/>
        <v>0</v>
      </c>
      <c r="U208" s="39">
        <f t="shared" si="113"/>
        <v>0</v>
      </c>
      <c r="V208" s="39">
        <f t="shared" si="113"/>
        <v>0</v>
      </c>
      <c r="W208" s="39">
        <f t="shared" si="113"/>
        <v>5.5038338034794562E-4</v>
      </c>
      <c r="X208" s="39">
        <f t="shared" si="113"/>
        <v>0</v>
      </c>
    </row>
    <row r="209" spans="3:24" s="18" customFormat="1" x14ac:dyDescent="0.25">
      <c r="C209" s="19" t="str">
        <f t="shared" si="88"/>
        <v>Total fees and Commision on loan Portfolio</v>
      </c>
      <c r="E209" s="31" t="s">
        <v>292</v>
      </c>
      <c r="I209" s="64">
        <f t="shared" ref="I209:X209" si="114">I33/I$55</f>
        <v>2.2380449173189106E-2</v>
      </c>
      <c r="J209" s="64">
        <f t="shared" si="114"/>
        <v>2.1641079468525094E-2</v>
      </c>
      <c r="K209" s="64">
        <f t="shared" si="114"/>
        <v>2.5559205041467855E-2</v>
      </c>
      <c r="L209" s="64">
        <f t="shared" si="114"/>
        <v>4.5349158953255225E-2</v>
      </c>
      <c r="M209" s="64">
        <f t="shared" si="114"/>
        <v>1.7694011120055086E-2</v>
      </c>
      <c r="N209" s="64">
        <f t="shared" si="114"/>
        <v>3.7003467234219829E-2</v>
      </c>
      <c r="O209" s="64">
        <f t="shared" si="114"/>
        <v>2.9564189891819918E-2</v>
      </c>
      <c r="P209" s="64">
        <f t="shared" si="114"/>
        <v>4.2112859573986396E-2</v>
      </c>
      <c r="Q209" s="64">
        <f t="shared" si="114"/>
        <v>2.8729047351388814E-2</v>
      </c>
      <c r="R209" s="64">
        <f t="shared" si="114"/>
        <v>2.1791253343051705E-2</v>
      </c>
      <c r="S209" s="64">
        <f t="shared" si="114"/>
        <v>3.4390204587794376E-2</v>
      </c>
      <c r="T209" s="64">
        <f t="shared" si="114"/>
        <v>2.6659066691782335E-2</v>
      </c>
      <c r="U209" s="64">
        <f t="shared" si="114"/>
        <v>2.8282530194990683E-2</v>
      </c>
      <c r="V209" s="64">
        <f t="shared" si="114"/>
        <v>2.7121069896943635E-2</v>
      </c>
      <c r="W209" s="64">
        <f t="shared" si="114"/>
        <v>4.2170303643182618E-2</v>
      </c>
      <c r="X209" s="64">
        <f t="shared" si="114"/>
        <v>3.3821840908343462E-2</v>
      </c>
    </row>
    <row r="210" spans="3:24" x14ac:dyDescent="0.25">
      <c r="C210" s="31">
        <f t="shared" si="88"/>
        <v>0</v>
      </c>
    </row>
    <row r="211" spans="3:24" x14ac:dyDescent="0.25">
      <c r="C211" s="31" t="str">
        <f t="shared" si="88"/>
        <v>Interest on treasury bonds</v>
      </c>
      <c r="E211" s="31" t="s">
        <v>292</v>
      </c>
      <c r="I211" s="39">
        <f t="shared" ref="I211:X211" si="115">I35/I$55</f>
        <v>6.8895770823872238E-3</v>
      </c>
      <c r="J211" s="39">
        <f t="shared" si="115"/>
        <v>1.5151767122688162E-2</v>
      </c>
      <c r="K211" s="39">
        <f t="shared" si="115"/>
        <v>3.5171044907710898E-2</v>
      </c>
      <c r="L211" s="39">
        <f t="shared" si="115"/>
        <v>1.4110012156658632E-2</v>
      </c>
      <c r="M211" s="39">
        <f t="shared" si="115"/>
        <v>4.0258507564029065E-3</v>
      </c>
      <c r="N211" s="39">
        <f t="shared" si="115"/>
        <v>3.4507886432006439E-2</v>
      </c>
      <c r="O211" s="39">
        <f t="shared" si="115"/>
        <v>1.6981071749113185E-2</v>
      </c>
      <c r="P211" s="39">
        <f t="shared" si="115"/>
        <v>1.7508776066892998E-2</v>
      </c>
      <c r="Q211" s="39">
        <f t="shared" si="115"/>
        <v>8.6875511167569391E-3</v>
      </c>
      <c r="R211" s="39">
        <f t="shared" si="115"/>
        <v>4.2558099884814861E-3</v>
      </c>
      <c r="S211" s="124">
        <f t="shared" si="115"/>
        <v>0</v>
      </c>
      <c r="T211" s="124">
        <f t="shared" si="115"/>
        <v>0</v>
      </c>
      <c r="U211" s="124">
        <f t="shared" si="115"/>
        <v>0</v>
      </c>
      <c r="V211" s="124">
        <f t="shared" si="115"/>
        <v>0</v>
      </c>
      <c r="W211" s="124">
        <f t="shared" si="115"/>
        <v>0</v>
      </c>
      <c r="X211" s="124">
        <f t="shared" si="115"/>
        <v>0</v>
      </c>
    </row>
    <row r="212" spans="3:24" x14ac:dyDescent="0.25">
      <c r="C212" s="31" t="str">
        <f t="shared" si="88"/>
        <v>Discount on infrastructure Bonds</v>
      </c>
      <c r="E212" s="31" t="s">
        <v>292</v>
      </c>
      <c r="I212" s="39">
        <f t="shared" ref="I212:X212" si="116">I36/I$55</f>
        <v>4.314643298289144E-5</v>
      </c>
      <c r="J212" s="39">
        <f t="shared" si="116"/>
        <v>1.4615130358440044E-3</v>
      </c>
      <c r="K212" s="39">
        <f t="shared" si="116"/>
        <v>1.9035698215431844E-4</v>
      </c>
      <c r="L212" s="39">
        <f t="shared" si="116"/>
        <v>3.4803423567498511E-4</v>
      </c>
      <c r="M212" s="39">
        <f t="shared" si="116"/>
        <v>1.51023357375054E-4</v>
      </c>
      <c r="N212" s="39">
        <f t="shared" si="116"/>
        <v>1.7928782911394043E-4</v>
      </c>
      <c r="O212" s="39">
        <f t="shared" si="116"/>
        <v>5.8665768242116285E-4</v>
      </c>
      <c r="P212" s="39">
        <f t="shared" si="116"/>
        <v>0</v>
      </c>
      <c r="Q212" s="39">
        <f t="shared" si="116"/>
        <v>2.3239125329708305E-4</v>
      </c>
      <c r="R212" s="39">
        <f t="shared" si="116"/>
        <v>0</v>
      </c>
      <c r="S212" s="124">
        <f t="shared" si="116"/>
        <v>0</v>
      </c>
      <c r="T212" s="124">
        <f t="shared" si="116"/>
        <v>0</v>
      </c>
      <c r="U212" s="124">
        <f t="shared" si="116"/>
        <v>0</v>
      </c>
      <c r="V212" s="124">
        <f t="shared" si="116"/>
        <v>0</v>
      </c>
      <c r="W212" s="124">
        <f t="shared" si="116"/>
        <v>0</v>
      </c>
      <c r="X212" s="124">
        <f t="shared" si="116"/>
        <v>0</v>
      </c>
    </row>
    <row r="213" spans="3:24" x14ac:dyDescent="0.25">
      <c r="C213" s="31" t="str">
        <f t="shared" si="88"/>
        <v>Interest on corporate Bonds</v>
      </c>
      <c r="E213" s="31" t="s">
        <v>292</v>
      </c>
      <c r="I213" s="39">
        <f t="shared" ref="I213:X213" si="117">I37/I$55</f>
        <v>0</v>
      </c>
      <c r="J213" s="39">
        <f t="shared" si="117"/>
        <v>5.9344112335865265E-3</v>
      </c>
      <c r="K213" s="39">
        <f t="shared" si="117"/>
        <v>0</v>
      </c>
      <c r="L213" s="39">
        <f t="shared" si="117"/>
        <v>0</v>
      </c>
      <c r="M213" s="39">
        <f t="shared" si="117"/>
        <v>2.0743902650355008E-2</v>
      </c>
      <c r="N213" s="39">
        <f t="shared" si="117"/>
        <v>2.4911656765370469E-2</v>
      </c>
      <c r="O213" s="39">
        <f t="shared" si="117"/>
        <v>1.8246207645043106E-2</v>
      </c>
      <c r="P213" s="39">
        <f t="shared" si="117"/>
        <v>3.0811790177334018E-2</v>
      </c>
      <c r="Q213" s="39">
        <f t="shared" si="117"/>
        <v>2.7849161109992141E-2</v>
      </c>
      <c r="R213" s="39">
        <f t="shared" si="117"/>
        <v>0</v>
      </c>
      <c r="S213" s="124">
        <f t="shared" si="117"/>
        <v>0</v>
      </c>
      <c r="T213" s="124">
        <f t="shared" si="117"/>
        <v>0</v>
      </c>
      <c r="U213" s="124">
        <f t="shared" si="117"/>
        <v>0</v>
      </c>
      <c r="V213" s="124">
        <f t="shared" si="117"/>
        <v>0</v>
      </c>
      <c r="W213" s="124">
        <f t="shared" si="117"/>
        <v>0</v>
      </c>
      <c r="X213" s="124">
        <f t="shared" si="117"/>
        <v>0</v>
      </c>
    </row>
    <row r="214" spans="3:24" s="18" customFormat="1" x14ac:dyDescent="0.25">
      <c r="C214" s="19" t="str">
        <f t="shared" si="88"/>
        <v>Total Government Securities</v>
      </c>
      <c r="E214" s="31" t="s">
        <v>292</v>
      </c>
      <c r="I214" s="64">
        <f t="shared" ref="I214:X214" si="118">I38/I$55</f>
        <v>6.9327235153701155E-3</v>
      </c>
      <c r="J214" s="64">
        <f t="shared" si="118"/>
        <v>2.2547691392118693E-2</v>
      </c>
      <c r="K214" s="64">
        <f t="shared" si="118"/>
        <v>3.5361401889865217E-2</v>
      </c>
      <c r="L214" s="64">
        <f t="shared" si="118"/>
        <v>1.4458046392333617E-2</v>
      </c>
      <c r="M214" s="64">
        <f t="shared" si="118"/>
        <v>2.4920776764132967E-2</v>
      </c>
      <c r="N214" s="64">
        <f t="shared" si="118"/>
        <v>5.9598831026490849E-2</v>
      </c>
      <c r="O214" s="64">
        <f t="shared" si="118"/>
        <v>3.581393707657745E-2</v>
      </c>
      <c r="P214" s="64">
        <f t="shared" si="118"/>
        <v>4.8320566244227016E-2</v>
      </c>
      <c r="Q214" s="64">
        <f t="shared" si="118"/>
        <v>3.6769103480046167E-2</v>
      </c>
      <c r="R214" s="64">
        <f t="shared" si="118"/>
        <v>4.2558099884814861E-3</v>
      </c>
      <c r="S214" s="64">
        <f t="shared" si="118"/>
        <v>0</v>
      </c>
      <c r="T214" s="64">
        <f t="shared" si="118"/>
        <v>0</v>
      </c>
      <c r="U214" s="64">
        <f t="shared" si="118"/>
        <v>0</v>
      </c>
      <c r="V214" s="64">
        <f t="shared" si="118"/>
        <v>0</v>
      </c>
      <c r="W214" s="64">
        <f t="shared" si="118"/>
        <v>0</v>
      </c>
      <c r="X214" s="64">
        <f t="shared" si="118"/>
        <v>0</v>
      </c>
    </row>
    <row r="216" spans="3:24" x14ac:dyDescent="0.25">
      <c r="C216" s="31" t="str">
        <f t="shared" si="88"/>
        <v>Interest on fixed deposit</v>
      </c>
      <c r="E216" s="31" t="s">
        <v>292</v>
      </c>
      <c r="I216" s="39">
        <f t="shared" ref="I216:X216" si="119">I40/I$55</f>
        <v>7.7966214696712065E-3</v>
      </c>
      <c r="J216" s="39">
        <f t="shared" si="119"/>
        <v>0.16304004626517751</v>
      </c>
      <c r="K216" s="39">
        <f t="shared" si="119"/>
        <v>0.22924042219323951</v>
      </c>
      <c r="L216" s="39">
        <f t="shared" si="119"/>
        <v>0</v>
      </c>
      <c r="M216" s="39">
        <f t="shared" si="119"/>
        <v>0.18655475167560212</v>
      </c>
      <c r="N216" s="39">
        <f t="shared" si="119"/>
        <v>0</v>
      </c>
      <c r="O216" s="39">
        <f t="shared" si="119"/>
        <v>6.8421978041802584E-2</v>
      </c>
      <c r="P216" s="39">
        <f t="shared" si="119"/>
        <v>0</v>
      </c>
      <c r="Q216" s="39">
        <f t="shared" si="119"/>
        <v>0</v>
      </c>
      <c r="R216" s="39">
        <f t="shared" si="119"/>
        <v>3.6343050541558987E-2</v>
      </c>
      <c r="S216" s="39">
        <f t="shared" si="119"/>
        <v>0</v>
      </c>
      <c r="T216" s="39">
        <f t="shared" si="119"/>
        <v>0</v>
      </c>
      <c r="U216" s="39">
        <f t="shared" si="119"/>
        <v>0</v>
      </c>
      <c r="V216" s="39">
        <f t="shared" si="119"/>
        <v>0</v>
      </c>
      <c r="W216" s="39">
        <f t="shared" si="119"/>
        <v>0</v>
      </c>
      <c r="X216" s="39">
        <f t="shared" si="119"/>
        <v>0</v>
      </c>
    </row>
    <row r="217" spans="3:24" x14ac:dyDescent="0.25">
      <c r="C217" s="31" t="str">
        <f t="shared" si="88"/>
        <v>Interest on call deposit</v>
      </c>
      <c r="E217" s="31" t="s">
        <v>292</v>
      </c>
      <c r="I217" s="39">
        <f t="shared" ref="I217:X217" si="120">I41/I$55</f>
        <v>0</v>
      </c>
      <c r="J217" s="39">
        <f t="shared" si="120"/>
        <v>1.516309275312897E-2</v>
      </c>
      <c r="K217" s="39">
        <f t="shared" si="120"/>
        <v>0</v>
      </c>
      <c r="L217" s="39">
        <f t="shared" si="120"/>
        <v>0</v>
      </c>
      <c r="M217" s="39">
        <f t="shared" si="120"/>
        <v>1.404146227438288E-2</v>
      </c>
      <c r="N217" s="39">
        <f t="shared" si="120"/>
        <v>0</v>
      </c>
      <c r="O217" s="39">
        <f t="shared" si="120"/>
        <v>4.678514780780283E-8</v>
      </c>
      <c r="P217" s="39">
        <f t="shared" si="120"/>
        <v>0</v>
      </c>
      <c r="Q217" s="39">
        <f t="shared" si="120"/>
        <v>0</v>
      </c>
      <c r="R217" s="39">
        <f t="shared" si="120"/>
        <v>0</v>
      </c>
      <c r="S217" s="39">
        <f t="shared" si="120"/>
        <v>0</v>
      </c>
      <c r="T217" s="39">
        <f t="shared" si="120"/>
        <v>0</v>
      </c>
      <c r="U217" s="39">
        <f t="shared" si="120"/>
        <v>0</v>
      </c>
      <c r="V217" s="39">
        <f t="shared" si="120"/>
        <v>0</v>
      </c>
      <c r="W217" s="39">
        <f t="shared" si="120"/>
        <v>0</v>
      </c>
      <c r="X217" s="39">
        <f t="shared" si="120"/>
        <v>0</v>
      </c>
    </row>
    <row r="218" spans="3:24" s="18" customFormat="1" x14ac:dyDescent="0.25">
      <c r="C218" s="19" t="str">
        <f t="shared" si="88"/>
        <v>Total deposit with bank</v>
      </c>
      <c r="E218" s="31" t="s">
        <v>292</v>
      </c>
      <c r="I218" s="64">
        <f t="shared" ref="I218:X218" si="121">I42/I$55</f>
        <v>7.7966214696712065E-3</v>
      </c>
      <c r="J218" s="64">
        <f t="shared" si="121"/>
        <v>0.17820313901830651</v>
      </c>
      <c r="K218" s="64">
        <f t="shared" si="121"/>
        <v>0.22924042219323951</v>
      </c>
      <c r="L218" s="64">
        <f t="shared" si="121"/>
        <v>0</v>
      </c>
      <c r="M218" s="64">
        <f t="shared" si="121"/>
        <v>0.200596213949985</v>
      </c>
      <c r="N218" s="64">
        <f t="shared" si="121"/>
        <v>0</v>
      </c>
      <c r="O218" s="64">
        <f t="shared" si="121"/>
        <v>6.8422024826950395E-2</v>
      </c>
      <c r="P218" s="64">
        <f t="shared" si="121"/>
        <v>0</v>
      </c>
      <c r="Q218" s="64">
        <f t="shared" si="121"/>
        <v>0</v>
      </c>
      <c r="R218" s="64">
        <f t="shared" si="121"/>
        <v>3.6343050541558987E-2</v>
      </c>
      <c r="S218" s="64">
        <f t="shared" si="121"/>
        <v>0</v>
      </c>
      <c r="T218" s="64">
        <f t="shared" si="121"/>
        <v>0</v>
      </c>
      <c r="U218" s="64">
        <f t="shared" si="121"/>
        <v>0</v>
      </c>
      <c r="V218" s="64">
        <f t="shared" si="121"/>
        <v>0</v>
      </c>
      <c r="W218" s="64">
        <f t="shared" si="121"/>
        <v>0</v>
      </c>
      <c r="X218" s="64">
        <f t="shared" si="121"/>
        <v>0</v>
      </c>
    </row>
    <row r="219" spans="3:24" x14ac:dyDescent="0.25">
      <c r="C219" s="31">
        <f t="shared" si="88"/>
        <v>0</v>
      </c>
    </row>
    <row r="220" spans="3:24" s="18" customFormat="1" x14ac:dyDescent="0.25">
      <c r="C220" s="19" t="str">
        <f t="shared" si="88"/>
        <v>Interest Income From Financial Investment (Bank + Govnt)</v>
      </c>
      <c r="E220" s="31" t="s">
        <v>292</v>
      </c>
      <c r="I220" s="64">
        <f t="shared" ref="I220:X220" si="122">I44/I$55</f>
        <v>1.4729344985041321E-2</v>
      </c>
      <c r="J220" s="64">
        <f t="shared" si="122"/>
        <v>0.20075083041042519</v>
      </c>
      <c r="K220" s="64">
        <f t="shared" si="122"/>
        <v>0.26460182408310473</v>
      </c>
      <c r="L220" s="64">
        <f t="shared" si="122"/>
        <v>1.4458046392333617E-2</v>
      </c>
      <c r="M220" s="64">
        <f t="shared" si="122"/>
        <v>0.22551699071411796</v>
      </c>
      <c r="N220" s="64">
        <f t="shared" si="122"/>
        <v>5.9598831026490849E-2</v>
      </c>
      <c r="O220" s="64">
        <f t="shared" si="122"/>
        <v>0.10423596190352785</v>
      </c>
      <c r="P220" s="64">
        <f t="shared" si="122"/>
        <v>4.8320566244227016E-2</v>
      </c>
      <c r="Q220" s="64">
        <f t="shared" si="122"/>
        <v>3.6769103480046167E-2</v>
      </c>
      <c r="R220" s="64">
        <f t="shared" si="122"/>
        <v>4.059886053004047E-2</v>
      </c>
      <c r="S220" s="64">
        <f t="shared" si="122"/>
        <v>0</v>
      </c>
      <c r="T220" s="64">
        <f t="shared" si="122"/>
        <v>0</v>
      </c>
      <c r="U220" s="64">
        <f t="shared" si="122"/>
        <v>0</v>
      </c>
      <c r="V220" s="64">
        <f t="shared" si="122"/>
        <v>0</v>
      </c>
      <c r="W220" s="64">
        <f t="shared" si="122"/>
        <v>0</v>
      </c>
      <c r="X220" s="64">
        <f t="shared" si="122"/>
        <v>0</v>
      </c>
    </row>
    <row r="221" spans="3:24" x14ac:dyDescent="0.25">
      <c r="C221" s="31">
        <f t="shared" si="88"/>
        <v>0</v>
      </c>
    </row>
    <row r="222" spans="3:24" x14ac:dyDescent="0.25">
      <c r="C222" s="31" t="str">
        <f t="shared" si="88"/>
        <v>Salary Processiong Charges</v>
      </c>
      <c r="E222" s="31" t="s">
        <v>292</v>
      </c>
      <c r="I222" s="39">
        <f t="shared" ref="I222:X222" si="123">I46/I$55</f>
        <v>5.4680782810559566E-3</v>
      </c>
      <c r="J222" s="39">
        <f t="shared" si="123"/>
        <v>6.3042311847760265E-3</v>
      </c>
      <c r="K222" s="39">
        <f t="shared" si="123"/>
        <v>1.3400820905920161E-2</v>
      </c>
      <c r="L222" s="39">
        <f t="shared" si="123"/>
        <v>1.441787280818386E-2</v>
      </c>
      <c r="M222" s="39">
        <f t="shared" si="123"/>
        <v>1.2740159371010097E-2</v>
      </c>
      <c r="N222" s="39">
        <f t="shared" si="123"/>
        <v>3.9523423209438021E-3</v>
      </c>
      <c r="O222" s="39">
        <f t="shared" si="123"/>
        <v>8.942232441096586E-3</v>
      </c>
      <c r="P222" s="39">
        <f t="shared" si="123"/>
        <v>9.4995119254426726E-3</v>
      </c>
      <c r="Q222" s="39">
        <f t="shared" si="123"/>
        <v>3.6825273268591974E-3</v>
      </c>
      <c r="R222" s="39">
        <f t="shared" si="123"/>
        <v>1.2786070937552069E-3</v>
      </c>
      <c r="S222" s="39">
        <f t="shared" si="123"/>
        <v>6.498951462380418E-4</v>
      </c>
      <c r="T222" s="39">
        <f t="shared" si="123"/>
        <v>2.0305417963941805E-3</v>
      </c>
      <c r="U222" s="39">
        <f t="shared" si="123"/>
        <v>4.4405537719288185E-3</v>
      </c>
      <c r="V222" s="39">
        <f t="shared" si="123"/>
        <v>7.9528635698820592E-3</v>
      </c>
      <c r="W222" s="39">
        <f t="shared" si="123"/>
        <v>2.1077943280438691E-3</v>
      </c>
      <c r="X222" s="39">
        <f t="shared" si="123"/>
        <v>2.6392625982777367E-3</v>
      </c>
    </row>
    <row r="223" spans="3:24" x14ac:dyDescent="0.25">
      <c r="C223" s="31" t="str">
        <f t="shared" si="88"/>
        <v>Withdrawal transaction charge</v>
      </c>
      <c r="E223" s="31" t="s">
        <v>292</v>
      </c>
      <c r="I223" s="39">
        <f t="shared" ref="I223:X223" si="124">I47/I$55</f>
        <v>1.2402704485910994E-2</v>
      </c>
      <c r="J223" s="39">
        <f t="shared" si="124"/>
        <v>1.9057963823380004E-2</v>
      </c>
      <c r="K223" s="39">
        <f t="shared" si="124"/>
        <v>3.697354325744788E-2</v>
      </c>
      <c r="L223" s="39">
        <f t="shared" si="124"/>
        <v>3.5304781331130207E-2</v>
      </c>
      <c r="M223" s="39">
        <f t="shared" si="124"/>
        <v>2.9356390773292246E-2</v>
      </c>
      <c r="N223" s="39">
        <f t="shared" si="124"/>
        <v>2.2486652820214222E-2</v>
      </c>
      <c r="O223" s="39">
        <f t="shared" si="124"/>
        <v>1.7153746372642224E-2</v>
      </c>
      <c r="P223" s="39">
        <f t="shared" si="124"/>
        <v>3.9359454800067667E-2</v>
      </c>
      <c r="Q223" s="39">
        <f t="shared" si="124"/>
        <v>1.7282342819172399E-2</v>
      </c>
      <c r="R223" s="39">
        <f t="shared" si="124"/>
        <v>1.2981837020301885E-2</v>
      </c>
      <c r="S223" s="39">
        <f t="shared" si="124"/>
        <v>3.7532768555729991E-2</v>
      </c>
      <c r="T223" s="39">
        <f t="shared" si="124"/>
        <v>1.6100861294635619E-2</v>
      </c>
      <c r="U223" s="39">
        <f t="shared" si="124"/>
        <v>5.3332290746071931E-2</v>
      </c>
      <c r="V223" s="39">
        <f t="shared" si="124"/>
        <v>4.3151742710344734E-2</v>
      </c>
      <c r="W223" s="39">
        <f t="shared" si="124"/>
        <v>4.608352778795468E-2</v>
      </c>
      <c r="X223" s="39">
        <f t="shared" si="124"/>
        <v>4.5788216290456624E-2</v>
      </c>
    </row>
    <row r="224" spans="3:24" x14ac:dyDescent="0.25">
      <c r="C224" s="31" t="str">
        <f t="shared" si="88"/>
        <v>Mobile Banking cash withdrawal and notification charge</v>
      </c>
      <c r="E224" s="31" t="s">
        <v>292</v>
      </c>
      <c r="I224" s="39">
        <f t="shared" ref="I224:X224" si="125">I48/I$55</f>
        <v>8.0010503256240217E-3</v>
      </c>
      <c r="J224" s="39">
        <f t="shared" si="125"/>
        <v>8.7935371944682372E-3</v>
      </c>
      <c r="K224" s="39">
        <f t="shared" si="125"/>
        <v>1.2010557115089001E-2</v>
      </c>
      <c r="L224" s="39">
        <f t="shared" si="125"/>
        <v>2.0488617151347008E-2</v>
      </c>
      <c r="M224" s="39">
        <f t="shared" si="125"/>
        <v>1.5023365417293119E-2</v>
      </c>
      <c r="N224" s="39">
        <f t="shared" si="125"/>
        <v>1.5681188833909544E-2</v>
      </c>
      <c r="O224" s="39">
        <f t="shared" si="125"/>
        <v>1.6532963603410049E-2</v>
      </c>
      <c r="P224" s="39">
        <f t="shared" si="125"/>
        <v>2.7871444742088095E-2</v>
      </c>
      <c r="Q224" s="39">
        <f t="shared" si="125"/>
        <v>1.7038426262199629E-2</v>
      </c>
      <c r="R224" s="39">
        <f t="shared" si="125"/>
        <v>2.5022269073549569E-2</v>
      </c>
      <c r="S224" s="39">
        <f t="shared" si="125"/>
        <v>1.8729737412674353E-2</v>
      </c>
      <c r="T224" s="39">
        <f t="shared" si="125"/>
        <v>3.3129819268428611E-2</v>
      </c>
      <c r="U224" s="39">
        <f t="shared" si="125"/>
        <v>4.034642209160777E-2</v>
      </c>
      <c r="V224" s="39">
        <f t="shared" si="125"/>
        <v>2.1555351370016611E-2</v>
      </c>
      <c r="W224" s="39">
        <f t="shared" si="125"/>
        <v>2.0904121700223412E-2</v>
      </c>
      <c r="X224" s="39">
        <f t="shared" si="125"/>
        <v>5.4028695176407383E-2</v>
      </c>
    </row>
    <row r="225" spans="2:59" x14ac:dyDescent="0.25">
      <c r="C225" s="31" t="str">
        <f t="shared" si="88"/>
        <v>Ledger fee on charging customers</v>
      </c>
      <c r="E225" s="31" t="s">
        <v>292</v>
      </c>
      <c r="I225" s="39">
        <f t="shared" ref="I225:X225" si="126">I49/I$55</f>
        <v>4.6513834373188186E-3</v>
      </c>
      <c r="J225" s="39">
        <f t="shared" si="126"/>
        <v>1.5847957871284169E-2</v>
      </c>
      <c r="K225" s="39">
        <f t="shared" si="126"/>
        <v>1.6814843915954218E-2</v>
      </c>
      <c r="L225" s="39">
        <f t="shared" si="126"/>
        <v>2.088819350653532E-2</v>
      </c>
      <c r="M225" s="39">
        <f t="shared" si="126"/>
        <v>2.2127853921789925E-2</v>
      </c>
      <c r="N225" s="39">
        <f t="shared" si="126"/>
        <v>1.1148728893174559E-2</v>
      </c>
      <c r="O225" s="39">
        <f t="shared" si="126"/>
        <v>1.3832730726594024E-2</v>
      </c>
      <c r="P225" s="39">
        <f t="shared" si="126"/>
        <v>2.284251815944207E-2</v>
      </c>
      <c r="Q225" s="39">
        <f t="shared" si="126"/>
        <v>9.7591044436301042E-3</v>
      </c>
      <c r="R225" s="39">
        <f t="shared" si="126"/>
        <v>6.2959560412872134E-3</v>
      </c>
      <c r="S225" s="39">
        <f t="shared" si="126"/>
        <v>4.7601208933346351E-3</v>
      </c>
      <c r="T225" s="39">
        <f t="shared" si="126"/>
        <v>7.5034916974205668E-3</v>
      </c>
      <c r="U225" s="39">
        <f t="shared" si="126"/>
        <v>1.4752558084458248E-2</v>
      </c>
      <c r="V225" s="39">
        <f t="shared" si="126"/>
        <v>1.3946524998065089E-2</v>
      </c>
      <c r="W225" s="39">
        <f t="shared" si="126"/>
        <v>3.9963194765743112E-3</v>
      </c>
      <c r="X225" s="39">
        <f t="shared" si="126"/>
        <v>1.0980363370787838E-2</v>
      </c>
    </row>
    <row r="226" spans="2:59" x14ac:dyDescent="0.25">
      <c r="C226" s="31" t="str">
        <f t="shared" si="88"/>
        <v xml:space="preserve">Other Operating Income </v>
      </c>
      <c r="E226" s="31" t="s">
        <v>292</v>
      </c>
      <c r="I226" s="39">
        <f t="shared" ref="I226:X226" si="127">I50/I$55</f>
        <v>1.0483383135760485E-2</v>
      </c>
      <c r="J226" s="39">
        <f t="shared" si="127"/>
        <v>2.6911701938549411E-2</v>
      </c>
      <c r="K226" s="39">
        <f t="shared" si="127"/>
        <v>4.3972736969774488E-2</v>
      </c>
      <c r="L226" s="39">
        <f t="shared" si="127"/>
        <v>2.8704802219252323E-2</v>
      </c>
      <c r="M226" s="39">
        <f t="shared" si="127"/>
        <v>2.9661253867415454E-2</v>
      </c>
      <c r="N226" s="39">
        <f t="shared" si="127"/>
        <v>1.0331144965305142E-2</v>
      </c>
      <c r="O226" s="39">
        <f t="shared" si="127"/>
        <v>1.9677739597666256E-2</v>
      </c>
      <c r="P226" s="39">
        <f t="shared" si="127"/>
        <v>3.5076694970008433E-2</v>
      </c>
      <c r="Q226" s="39">
        <f t="shared" si="127"/>
        <v>1.5050889785577509E-2</v>
      </c>
      <c r="R226" s="39">
        <f t="shared" si="127"/>
        <v>1.102160749841785E-2</v>
      </c>
      <c r="S226" s="39">
        <f t="shared" si="127"/>
        <v>4.4776371481349331E-2</v>
      </c>
      <c r="T226" s="39">
        <f t="shared" si="127"/>
        <v>2.8237882477581428E-2</v>
      </c>
      <c r="U226" s="39">
        <f t="shared" si="127"/>
        <v>4.0832325619530874E-2</v>
      </c>
      <c r="V226" s="39">
        <f t="shared" si="127"/>
        <v>2.402457635359467E-2</v>
      </c>
      <c r="W226" s="39">
        <f t="shared" si="127"/>
        <v>3.7062826969641652E-2</v>
      </c>
      <c r="X226" s="39">
        <f t="shared" si="127"/>
        <v>4.3133076878111118E-2</v>
      </c>
    </row>
    <row r="227" spans="2:59" s="18" customFormat="1" x14ac:dyDescent="0.25">
      <c r="C227" s="19" t="str">
        <f t="shared" si="88"/>
        <v>Total other operating income</v>
      </c>
      <c r="E227" s="31" t="s">
        <v>292</v>
      </c>
      <c r="I227" s="64">
        <f t="shared" ref="I227:X227" si="128">I51/I$55</f>
        <v>4.1006599665670274E-2</v>
      </c>
      <c r="J227" s="64">
        <f t="shared" si="128"/>
        <v>7.6915392012457853E-2</v>
      </c>
      <c r="K227" s="64">
        <f t="shared" si="128"/>
        <v>0.12317250216418575</v>
      </c>
      <c r="L227" s="64">
        <f t="shared" si="128"/>
        <v>0.11980426701644872</v>
      </c>
      <c r="M227" s="64">
        <f t="shared" si="128"/>
        <v>0.10890902335080084</v>
      </c>
      <c r="N227" s="64">
        <f t="shared" si="128"/>
        <v>6.3600057833547274E-2</v>
      </c>
      <c r="O227" s="64">
        <f t="shared" si="128"/>
        <v>7.6139412741409146E-2</v>
      </c>
      <c r="P227" s="64">
        <f t="shared" si="128"/>
        <v>0.13464962459704893</v>
      </c>
      <c r="Q227" s="64">
        <f t="shared" si="128"/>
        <v>6.2813290637438846E-2</v>
      </c>
      <c r="R227" s="64">
        <f t="shared" si="128"/>
        <v>5.6600276727311723E-2</v>
      </c>
      <c r="S227" s="64">
        <f t="shared" si="128"/>
        <v>0.10644889348932636</v>
      </c>
      <c r="T227" s="64">
        <f t="shared" si="128"/>
        <v>8.7002596534460408E-2</v>
      </c>
      <c r="U227" s="64">
        <f t="shared" si="128"/>
        <v>0.15370415031359763</v>
      </c>
      <c r="V227" s="64">
        <f t="shared" si="128"/>
        <v>0.11063105900190316</v>
      </c>
      <c r="W227" s="64">
        <f t="shared" si="128"/>
        <v>0.11015459026243793</v>
      </c>
      <c r="X227" s="64">
        <f t="shared" si="128"/>
        <v>0.15656961431404071</v>
      </c>
    </row>
    <row r="228" spans="2:59" x14ac:dyDescent="0.25">
      <c r="C228" s="31">
        <f t="shared" si="88"/>
        <v>0</v>
      </c>
    </row>
    <row r="229" spans="2:59" x14ac:dyDescent="0.25">
      <c r="C229" s="31" t="str">
        <f t="shared" si="88"/>
        <v>Other Income</v>
      </c>
      <c r="E229" s="31" t="s">
        <v>292</v>
      </c>
      <c r="I229" s="39">
        <f t="shared" ref="I229:X229" si="129">I53/I$55</f>
        <v>0</v>
      </c>
      <c r="J229" s="39">
        <f t="shared" si="129"/>
        <v>0</v>
      </c>
      <c r="K229" s="39">
        <f t="shared" si="129"/>
        <v>0</v>
      </c>
      <c r="L229" s="39">
        <f t="shared" si="129"/>
        <v>0</v>
      </c>
      <c r="M229" s="39">
        <f t="shared" si="129"/>
        <v>0</v>
      </c>
      <c r="N229" s="39">
        <f t="shared" si="129"/>
        <v>0</v>
      </c>
      <c r="O229" s="39">
        <f t="shared" si="129"/>
        <v>0</v>
      </c>
      <c r="P229" s="39">
        <f t="shared" si="129"/>
        <v>0</v>
      </c>
      <c r="Q229" s="39">
        <f t="shared" si="129"/>
        <v>0</v>
      </c>
      <c r="R229" s="39">
        <f t="shared" si="129"/>
        <v>0</v>
      </c>
      <c r="S229" s="39">
        <f t="shared" si="129"/>
        <v>0</v>
      </c>
      <c r="T229" s="39">
        <f t="shared" si="129"/>
        <v>0</v>
      </c>
      <c r="U229" s="39">
        <f t="shared" si="129"/>
        <v>0</v>
      </c>
      <c r="V229" s="39">
        <f t="shared" si="129"/>
        <v>0</v>
      </c>
      <c r="W229" s="39">
        <f t="shared" si="129"/>
        <v>0</v>
      </c>
      <c r="X229" s="39">
        <f t="shared" si="129"/>
        <v>0</v>
      </c>
    </row>
    <row r="230" spans="2:59" x14ac:dyDescent="0.25">
      <c r="C230" s="31">
        <f t="shared" si="88"/>
        <v>0</v>
      </c>
    </row>
    <row r="231" spans="2:59" s="18" customFormat="1" x14ac:dyDescent="0.25">
      <c r="C231" s="19" t="str">
        <f t="shared" si="88"/>
        <v>Total Revenue</v>
      </c>
      <c r="E231" s="31" t="s">
        <v>292</v>
      </c>
      <c r="I231" s="64">
        <f t="shared" ref="I231:X231" si="130">I55/I$55</f>
        <v>1</v>
      </c>
      <c r="J231" s="64">
        <f t="shared" si="130"/>
        <v>1</v>
      </c>
      <c r="K231" s="64">
        <f t="shared" si="130"/>
        <v>1</v>
      </c>
      <c r="L231" s="64">
        <f t="shared" si="130"/>
        <v>1</v>
      </c>
      <c r="M231" s="64">
        <f t="shared" si="130"/>
        <v>1</v>
      </c>
      <c r="N231" s="64">
        <f t="shared" si="130"/>
        <v>1</v>
      </c>
      <c r="O231" s="64">
        <f t="shared" si="130"/>
        <v>1</v>
      </c>
      <c r="P231" s="64">
        <f t="shared" si="130"/>
        <v>1</v>
      </c>
      <c r="Q231" s="64">
        <f t="shared" si="130"/>
        <v>1</v>
      </c>
      <c r="R231" s="64">
        <f t="shared" si="130"/>
        <v>1</v>
      </c>
      <c r="S231" s="64">
        <f t="shared" si="130"/>
        <v>1</v>
      </c>
      <c r="T231" s="64">
        <f t="shared" si="130"/>
        <v>1</v>
      </c>
      <c r="U231" s="64">
        <f t="shared" si="130"/>
        <v>1</v>
      </c>
      <c r="V231" s="64">
        <f t="shared" si="130"/>
        <v>1</v>
      </c>
      <c r="W231" s="64">
        <f t="shared" si="130"/>
        <v>1</v>
      </c>
      <c r="X231" s="64">
        <f t="shared" si="130"/>
        <v>1</v>
      </c>
    </row>
    <row r="232" spans="2:59" x14ac:dyDescent="0.25">
      <c r="C232" s="31">
        <f t="shared" si="88"/>
        <v>0</v>
      </c>
    </row>
    <row r="233" spans="2:59" x14ac:dyDescent="0.25">
      <c r="B233" s="42"/>
      <c r="C233" s="43" t="s">
        <v>290</v>
      </c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</row>
    <row r="234" spans="2:59" x14ac:dyDescent="0.25">
      <c r="C234" s="31"/>
    </row>
    <row r="235" spans="2:59" x14ac:dyDescent="0.25">
      <c r="C235" s="31" t="str">
        <f>C209</f>
        <v>Total fees and Commision on loan Portfolio</v>
      </c>
      <c r="E235" s="31" t="s">
        <v>292</v>
      </c>
      <c r="I235" s="39">
        <f>I209</f>
        <v>2.2380449173189106E-2</v>
      </c>
      <c r="J235" s="39">
        <f t="shared" ref="J235:X235" si="131">J209</f>
        <v>2.1641079468525094E-2</v>
      </c>
      <c r="K235" s="39">
        <f t="shared" si="131"/>
        <v>2.5559205041467855E-2</v>
      </c>
      <c r="L235" s="39">
        <f t="shared" si="131"/>
        <v>4.5349158953255225E-2</v>
      </c>
      <c r="M235" s="39">
        <f t="shared" si="131"/>
        <v>1.7694011120055086E-2</v>
      </c>
      <c r="N235" s="39">
        <f t="shared" si="131"/>
        <v>3.7003467234219829E-2</v>
      </c>
      <c r="O235" s="39">
        <f t="shared" si="131"/>
        <v>2.9564189891819918E-2</v>
      </c>
      <c r="P235" s="39">
        <f t="shared" si="131"/>
        <v>4.2112859573986396E-2</v>
      </c>
      <c r="Q235" s="39">
        <f t="shared" si="131"/>
        <v>2.8729047351388814E-2</v>
      </c>
      <c r="R235" s="39">
        <f t="shared" si="131"/>
        <v>2.1791253343051705E-2</v>
      </c>
      <c r="S235" s="39">
        <f t="shared" si="131"/>
        <v>3.4390204587794376E-2</v>
      </c>
      <c r="T235" s="39">
        <f t="shared" si="131"/>
        <v>2.6659066691782335E-2</v>
      </c>
      <c r="U235" s="39">
        <f t="shared" si="131"/>
        <v>2.8282530194990683E-2</v>
      </c>
      <c r="V235" s="39">
        <f>V209</f>
        <v>2.7121069896943635E-2</v>
      </c>
      <c r="W235" s="39">
        <f t="shared" si="131"/>
        <v>4.2170303643182618E-2</v>
      </c>
      <c r="X235" s="39">
        <f t="shared" si="131"/>
        <v>3.3821840908343462E-2</v>
      </c>
    </row>
    <row r="236" spans="2:59" x14ac:dyDescent="0.25">
      <c r="C236" s="31" t="str">
        <f>C214</f>
        <v>Total Government Securities</v>
      </c>
      <c r="E236" s="31" t="s">
        <v>292</v>
      </c>
      <c r="I236" s="39">
        <f>I214</f>
        <v>6.9327235153701155E-3</v>
      </c>
      <c r="J236" s="39">
        <f t="shared" ref="J236:X236" si="132">J214</f>
        <v>2.2547691392118693E-2</v>
      </c>
      <c r="K236" s="39">
        <f t="shared" si="132"/>
        <v>3.5361401889865217E-2</v>
      </c>
      <c r="L236" s="39">
        <f t="shared" si="132"/>
        <v>1.4458046392333617E-2</v>
      </c>
      <c r="M236" s="39">
        <f t="shared" si="132"/>
        <v>2.4920776764132967E-2</v>
      </c>
      <c r="N236" s="39">
        <f t="shared" si="132"/>
        <v>5.9598831026490849E-2</v>
      </c>
      <c r="O236" s="39">
        <f t="shared" si="132"/>
        <v>3.581393707657745E-2</v>
      </c>
      <c r="P236" s="39">
        <f t="shared" si="132"/>
        <v>4.8320566244227016E-2</v>
      </c>
      <c r="Q236" s="39">
        <f t="shared" si="132"/>
        <v>3.6769103480046167E-2</v>
      </c>
      <c r="R236" s="39">
        <f t="shared" si="132"/>
        <v>4.2558099884814861E-3</v>
      </c>
      <c r="S236" s="39">
        <f t="shared" si="132"/>
        <v>0</v>
      </c>
      <c r="T236" s="39">
        <f t="shared" si="132"/>
        <v>0</v>
      </c>
      <c r="U236" s="39">
        <f t="shared" si="132"/>
        <v>0</v>
      </c>
      <c r="V236" s="39">
        <f t="shared" si="132"/>
        <v>0</v>
      </c>
      <c r="W236" s="39">
        <f t="shared" si="132"/>
        <v>0</v>
      </c>
      <c r="X236" s="39">
        <f t="shared" si="132"/>
        <v>0</v>
      </c>
    </row>
    <row r="237" spans="2:59" x14ac:dyDescent="0.25">
      <c r="C237" s="31" t="str">
        <f>C218</f>
        <v>Total deposit with bank</v>
      </c>
      <c r="E237" s="31" t="s">
        <v>292</v>
      </c>
      <c r="I237" s="39">
        <f>I218</f>
        <v>7.7966214696712065E-3</v>
      </c>
      <c r="J237" s="39">
        <f>J218</f>
        <v>0.17820313901830651</v>
      </c>
      <c r="K237" s="39">
        <f t="shared" ref="K237:X237" si="133">K218</f>
        <v>0.22924042219323951</v>
      </c>
      <c r="L237" s="39">
        <f t="shared" si="133"/>
        <v>0</v>
      </c>
      <c r="M237" s="39">
        <f t="shared" si="133"/>
        <v>0.200596213949985</v>
      </c>
      <c r="N237" s="39">
        <f t="shared" si="133"/>
        <v>0</v>
      </c>
      <c r="O237" s="39">
        <f t="shared" si="133"/>
        <v>6.8422024826950395E-2</v>
      </c>
      <c r="P237" s="39">
        <f t="shared" si="133"/>
        <v>0</v>
      </c>
      <c r="Q237" s="39">
        <f t="shared" si="133"/>
        <v>0</v>
      </c>
      <c r="R237" s="39">
        <f t="shared" si="133"/>
        <v>3.6343050541558987E-2</v>
      </c>
      <c r="S237" s="39">
        <f t="shared" si="133"/>
        <v>0</v>
      </c>
      <c r="T237" s="39">
        <f t="shared" si="133"/>
        <v>0</v>
      </c>
      <c r="U237" s="39">
        <f t="shared" si="133"/>
        <v>0</v>
      </c>
      <c r="V237" s="39">
        <f t="shared" si="133"/>
        <v>0</v>
      </c>
      <c r="W237" s="39">
        <f t="shared" si="133"/>
        <v>0</v>
      </c>
      <c r="X237" s="39">
        <f t="shared" si="133"/>
        <v>0</v>
      </c>
    </row>
    <row r="238" spans="2:59" x14ac:dyDescent="0.25">
      <c r="C238" s="31" t="str">
        <f>C220</f>
        <v>Interest Income From Financial Investment (Bank + Govnt)</v>
      </c>
      <c r="E238" s="31" t="s">
        <v>292</v>
      </c>
      <c r="I238" s="39">
        <f>I220</f>
        <v>1.4729344985041321E-2</v>
      </c>
      <c r="J238" s="39">
        <f t="shared" ref="J238:X238" si="134">J220</f>
        <v>0.20075083041042519</v>
      </c>
      <c r="K238" s="39">
        <f t="shared" si="134"/>
        <v>0.26460182408310473</v>
      </c>
      <c r="L238" s="39">
        <f t="shared" si="134"/>
        <v>1.4458046392333617E-2</v>
      </c>
      <c r="M238" s="39">
        <f t="shared" si="134"/>
        <v>0.22551699071411796</v>
      </c>
      <c r="N238" s="39">
        <f t="shared" si="134"/>
        <v>5.9598831026490849E-2</v>
      </c>
      <c r="O238" s="39">
        <f t="shared" si="134"/>
        <v>0.10423596190352785</v>
      </c>
      <c r="P238" s="39">
        <f t="shared" si="134"/>
        <v>4.8320566244227016E-2</v>
      </c>
      <c r="Q238" s="39">
        <f t="shared" si="134"/>
        <v>3.6769103480046167E-2</v>
      </c>
      <c r="R238" s="39">
        <f t="shared" si="134"/>
        <v>4.059886053004047E-2</v>
      </c>
      <c r="S238" s="39">
        <f t="shared" si="134"/>
        <v>0</v>
      </c>
      <c r="T238" s="39">
        <f t="shared" si="134"/>
        <v>0</v>
      </c>
      <c r="U238" s="39">
        <f t="shared" si="134"/>
        <v>0</v>
      </c>
      <c r="V238" s="39">
        <f t="shared" si="134"/>
        <v>0</v>
      </c>
      <c r="W238" s="39">
        <f t="shared" si="134"/>
        <v>0</v>
      </c>
      <c r="X238" s="39">
        <f t="shared" si="134"/>
        <v>0</v>
      </c>
    </row>
    <row r="239" spans="2:59" x14ac:dyDescent="0.25">
      <c r="C239" s="31" t="str">
        <f>C227</f>
        <v>Total other operating income</v>
      </c>
      <c r="E239" s="31" t="s">
        <v>292</v>
      </c>
      <c r="I239" s="39">
        <f>I227</f>
        <v>4.1006599665670274E-2</v>
      </c>
      <c r="J239" s="39">
        <f t="shared" ref="J239:X239" si="135">J227</f>
        <v>7.6915392012457853E-2</v>
      </c>
      <c r="K239" s="39">
        <f t="shared" si="135"/>
        <v>0.12317250216418575</v>
      </c>
      <c r="L239" s="39">
        <f t="shared" si="135"/>
        <v>0.11980426701644872</v>
      </c>
      <c r="M239" s="39">
        <f t="shared" si="135"/>
        <v>0.10890902335080084</v>
      </c>
      <c r="N239" s="39">
        <f t="shared" si="135"/>
        <v>6.3600057833547274E-2</v>
      </c>
      <c r="O239" s="39">
        <f t="shared" si="135"/>
        <v>7.6139412741409146E-2</v>
      </c>
      <c r="P239" s="39">
        <f t="shared" si="135"/>
        <v>0.13464962459704893</v>
      </c>
      <c r="Q239" s="39">
        <f t="shared" si="135"/>
        <v>6.2813290637438846E-2</v>
      </c>
      <c r="R239" s="39">
        <f t="shared" si="135"/>
        <v>5.6600276727311723E-2</v>
      </c>
      <c r="S239" s="39">
        <f t="shared" si="135"/>
        <v>0.10644889348932636</v>
      </c>
      <c r="T239" s="39">
        <f t="shared" si="135"/>
        <v>8.7002596534460408E-2</v>
      </c>
      <c r="U239" s="39">
        <f t="shared" si="135"/>
        <v>0.15370415031359763</v>
      </c>
      <c r="V239" s="39">
        <f t="shared" si="135"/>
        <v>0.11063105900190316</v>
      </c>
      <c r="W239" s="39">
        <f t="shared" si="135"/>
        <v>0.11015459026243793</v>
      </c>
      <c r="X239" s="39">
        <f t="shared" si="135"/>
        <v>0.15656961431404071</v>
      </c>
    </row>
    <row r="240" spans="2:59" x14ac:dyDescent="0.25">
      <c r="C240" s="31"/>
    </row>
    <row r="241" spans="2:59" x14ac:dyDescent="0.25">
      <c r="B241" s="42"/>
      <c r="C241" s="43" t="s">
        <v>294</v>
      </c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</row>
    <row r="242" spans="2:59" x14ac:dyDescent="0.25">
      <c r="C242" s="31"/>
    </row>
    <row r="243" spans="2:59" x14ac:dyDescent="0.25">
      <c r="C243" s="31" t="str">
        <f t="shared" ref="C243:C274" si="136">D145</f>
        <v>Interest on savings</v>
      </c>
      <c r="E243" s="31" t="s">
        <v>292</v>
      </c>
      <c r="I243" s="39">
        <f t="shared" ref="I243:X243" si="137">-I57/I$55</f>
        <v>0.17256742303274858</v>
      </c>
      <c r="J243" s="39">
        <f t="shared" si="137"/>
        <v>0.1066718220729489</v>
      </c>
      <c r="K243" s="39">
        <f t="shared" si="137"/>
        <v>0.11319940887464625</v>
      </c>
      <c r="L243" s="39">
        <f t="shared" si="137"/>
        <v>0.25026586667395778</v>
      </c>
      <c r="M243" s="39">
        <f t="shared" si="137"/>
        <v>0.22069638642090902</v>
      </c>
      <c r="N243" s="39">
        <f t="shared" si="137"/>
        <v>0.15575932927648947</v>
      </c>
      <c r="O243" s="39">
        <f t="shared" si="137"/>
        <v>0.19469073159928674</v>
      </c>
      <c r="P243" s="39">
        <f t="shared" si="137"/>
        <v>0.35063700295012623</v>
      </c>
      <c r="Q243" s="39">
        <f t="shared" si="137"/>
        <v>0.26386188761594981</v>
      </c>
      <c r="R243" s="39">
        <f t="shared" si="137"/>
        <v>0.17837283600233833</v>
      </c>
      <c r="S243" s="39">
        <f t="shared" si="137"/>
        <v>2.8361464298812481E-2</v>
      </c>
      <c r="T243" s="39">
        <f t="shared" si="137"/>
        <v>0.27988298293599434</v>
      </c>
      <c r="U243" s="39">
        <f t="shared" si="137"/>
        <v>0.15783758515711191</v>
      </c>
      <c r="V243" s="39">
        <f t="shared" si="137"/>
        <v>0.22157853061823898</v>
      </c>
      <c r="W243" s="39">
        <f t="shared" si="137"/>
        <v>9.4922154372767228E-2</v>
      </c>
      <c r="X243" s="39">
        <f t="shared" si="137"/>
        <v>0.13425691716189783</v>
      </c>
    </row>
    <row r="244" spans="2:59" x14ac:dyDescent="0.25">
      <c r="C244" s="31" t="str">
        <f t="shared" si="136"/>
        <v xml:space="preserve">Interest on fixed deposits </v>
      </c>
      <c r="E244" s="31" t="s">
        <v>292</v>
      </c>
      <c r="I244" s="39">
        <f t="shared" ref="I244:X244" si="138">-I58/I$55</f>
        <v>5.1533190776930681E-3</v>
      </c>
      <c r="J244" s="39">
        <f t="shared" si="138"/>
        <v>1.5085274122687837E-3</v>
      </c>
      <c r="K244" s="39">
        <f t="shared" si="138"/>
        <v>5.5157157573279669E-3</v>
      </c>
      <c r="L244" s="39">
        <f t="shared" si="138"/>
        <v>2.9284954462680188E-3</v>
      </c>
      <c r="M244" s="39">
        <f t="shared" si="138"/>
        <v>4.8425999767604817E-2</v>
      </c>
      <c r="N244" s="39">
        <f t="shared" si="138"/>
        <v>2.348814282931563E-2</v>
      </c>
      <c r="O244" s="39">
        <f t="shared" si="138"/>
        <v>5.2603910210954887E-3</v>
      </c>
      <c r="P244" s="39">
        <f t="shared" si="138"/>
        <v>9.0588559231526769E-3</v>
      </c>
      <c r="Q244" s="39">
        <f t="shared" si="138"/>
        <v>3.1128174273217135E-3</v>
      </c>
      <c r="R244" s="39">
        <f t="shared" si="138"/>
        <v>0</v>
      </c>
      <c r="S244" s="39">
        <f t="shared" si="138"/>
        <v>0</v>
      </c>
      <c r="T244" s="39">
        <f t="shared" si="138"/>
        <v>1.643748618258031E-2</v>
      </c>
      <c r="U244" s="39">
        <f t="shared" si="138"/>
        <v>0</v>
      </c>
      <c r="V244" s="39">
        <f t="shared" si="138"/>
        <v>2.9104245096735655E-3</v>
      </c>
      <c r="W244" s="39">
        <f t="shared" si="138"/>
        <v>0</v>
      </c>
      <c r="X244" s="39">
        <f t="shared" si="138"/>
        <v>1.138181995507274E-4</v>
      </c>
    </row>
    <row r="245" spans="2:59" x14ac:dyDescent="0.25">
      <c r="C245" s="31" t="str">
        <f t="shared" si="136"/>
        <v>Interest on Diaspora jijenge savings</v>
      </c>
      <c r="E245" s="31" t="s">
        <v>292</v>
      </c>
      <c r="I245" s="39">
        <f t="shared" ref="I245:X245" si="139">-I59/I$55</f>
        <v>1.2212163724635187E-2</v>
      </c>
      <c r="J245" s="39">
        <f t="shared" si="139"/>
        <v>2.9475854798990307E-5</v>
      </c>
      <c r="K245" s="39">
        <f t="shared" si="139"/>
        <v>0</v>
      </c>
      <c r="L245" s="39">
        <f t="shared" si="139"/>
        <v>0</v>
      </c>
      <c r="M245" s="39">
        <f t="shared" si="139"/>
        <v>2.0939421610460299E-3</v>
      </c>
      <c r="N245" s="39">
        <f t="shared" si="139"/>
        <v>0</v>
      </c>
      <c r="O245" s="39">
        <f t="shared" si="139"/>
        <v>0</v>
      </c>
      <c r="P245" s="39">
        <f t="shared" si="139"/>
        <v>0</v>
      </c>
      <c r="Q245" s="39">
        <f t="shared" si="139"/>
        <v>0</v>
      </c>
      <c r="R245" s="39">
        <f t="shared" si="139"/>
        <v>0</v>
      </c>
      <c r="S245" s="39">
        <f t="shared" si="139"/>
        <v>0</v>
      </c>
      <c r="T245" s="39">
        <f t="shared" si="139"/>
        <v>0</v>
      </c>
      <c r="U245" s="39">
        <f t="shared" si="139"/>
        <v>0</v>
      </c>
      <c r="V245" s="39">
        <f t="shared" si="139"/>
        <v>0</v>
      </c>
      <c r="W245" s="39">
        <f t="shared" si="139"/>
        <v>0</v>
      </c>
      <c r="X245" s="39">
        <f t="shared" si="139"/>
        <v>0</v>
      </c>
    </row>
    <row r="246" spans="2:59" s="18" customFormat="1" x14ac:dyDescent="0.25">
      <c r="C246" s="19" t="str">
        <f t="shared" si="136"/>
        <v>Total interest expense on deposits</v>
      </c>
      <c r="E246" s="31" t="s">
        <v>292</v>
      </c>
      <c r="I246" s="64">
        <f t="shared" ref="I246:X246" si="140">-I60/I$55</f>
        <v>0.18993290583507683</v>
      </c>
      <c r="J246" s="64">
        <f t="shared" si="140"/>
        <v>0.10820982534001668</v>
      </c>
      <c r="K246" s="64">
        <f t="shared" si="140"/>
        <v>0.11871512463197421</v>
      </c>
      <c r="L246" s="64">
        <f t="shared" si="140"/>
        <v>0.25319436212022578</v>
      </c>
      <c r="M246" s="64">
        <f t="shared" si="140"/>
        <v>0.27121632834955989</v>
      </c>
      <c r="N246" s="64">
        <f t="shared" si="140"/>
        <v>0.17924747210580511</v>
      </c>
      <c r="O246" s="64">
        <f t="shared" si="140"/>
        <v>0.19995112262038223</v>
      </c>
      <c r="P246" s="64">
        <f t="shared" si="140"/>
        <v>0.35969585887327887</v>
      </c>
      <c r="Q246" s="64">
        <f t="shared" si="140"/>
        <v>0.26697470504327153</v>
      </c>
      <c r="R246" s="64">
        <f t="shared" si="140"/>
        <v>0.17837283600233833</v>
      </c>
      <c r="S246" s="64">
        <f t="shared" si="140"/>
        <v>2.8361464298812481E-2</v>
      </c>
      <c r="T246" s="64">
        <f t="shared" si="140"/>
        <v>0.29632046911857463</v>
      </c>
      <c r="U246" s="64">
        <f t="shared" si="140"/>
        <v>0.15783758515711191</v>
      </c>
      <c r="V246" s="64">
        <f t="shared" si="140"/>
        <v>0.22448895512791253</v>
      </c>
      <c r="W246" s="64">
        <f t="shared" si="140"/>
        <v>9.4922154372767228E-2</v>
      </c>
      <c r="X246" s="64">
        <f t="shared" si="140"/>
        <v>0.13437073536144856</v>
      </c>
    </row>
    <row r="247" spans="2:59" x14ac:dyDescent="0.25">
      <c r="C247" s="31">
        <f t="shared" si="136"/>
        <v>0</v>
      </c>
    </row>
    <row r="248" spans="2:59" x14ac:dyDescent="0.25">
      <c r="C248" s="31" t="str">
        <f t="shared" si="136"/>
        <v>Mobile deposit charges paybill</v>
      </c>
      <c r="E248" s="31" t="s">
        <v>292</v>
      </c>
      <c r="I248" s="39">
        <f t="shared" ref="I248:X248" si="141">-I62/I$55</f>
        <v>5.1478571793064313E-3</v>
      </c>
      <c r="J248" s="39">
        <f t="shared" si="141"/>
        <v>3.5560836203660912E-3</v>
      </c>
      <c r="K248" s="39">
        <f t="shared" si="141"/>
        <v>5.6116936837753446E-3</v>
      </c>
      <c r="L248" s="39">
        <f t="shared" si="141"/>
        <v>1.3551793869214799E-2</v>
      </c>
      <c r="M248" s="39">
        <f t="shared" si="141"/>
        <v>7.4977125095465683E-3</v>
      </c>
      <c r="N248" s="39">
        <f t="shared" si="141"/>
        <v>1.4647198594135069E-2</v>
      </c>
      <c r="O248" s="39">
        <f t="shared" si="141"/>
        <v>1.073077249961152E-2</v>
      </c>
      <c r="P248" s="39">
        <f t="shared" si="141"/>
        <v>1.87152867656472E-2</v>
      </c>
      <c r="Q248" s="39">
        <f t="shared" si="141"/>
        <v>1.566479429753681E-2</v>
      </c>
      <c r="R248" s="39">
        <f t="shared" si="141"/>
        <v>1.4174887935684829E-2</v>
      </c>
      <c r="S248" s="39">
        <f t="shared" si="141"/>
        <v>1.6667804651788989E-2</v>
      </c>
      <c r="T248" s="39">
        <f t="shared" si="141"/>
        <v>2.1444857883770454E-2</v>
      </c>
      <c r="U248" s="39">
        <f t="shared" si="141"/>
        <v>3.5604639130996804E-2</v>
      </c>
      <c r="V248" s="39">
        <f t="shared" si="141"/>
        <v>2.6339643460296606E-2</v>
      </c>
      <c r="W248" s="39">
        <f t="shared" si="141"/>
        <v>1.4342321849141734E-2</v>
      </c>
      <c r="X248" s="39">
        <f t="shared" si="141"/>
        <v>3.3249760120927715E-2</v>
      </c>
    </row>
    <row r="249" spans="2:59" x14ac:dyDescent="0.25">
      <c r="C249" s="31" t="str">
        <f t="shared" si="136"/>
        <v>loss impairement of financial assets</v>
      </c>
      <c r="E249" s="31" t="s">
        <v>292</v>
      </c>
      <c r="I249" s="39">
        <f t="shared" ref="I249:X249" si="142">-I63/I$55</f>
        <v>0</v>
      </c>
      <c r="J249" s="39">
        <f t="shared" si="142"/>
        <v>3.3299047090852962E-2</v>
      </c>
      <c r="K249" s="39">
        <f t="shared" si="142"/>
        <v>0.31712769723783657</v>
      </c>
      <c r="L249" s="39">
        <f t="shared" si="142"/>
        <v>0</v>
      </c>
      <c r="M249" s="39">
        <f t="shared" si="142"/>
        <v>0</v>
      </c>
      <c r="N249" s="39">
        <f t="shared" si="142"/>
        <v>0</v>
      </c>
      <c r="O249" s="39">
        <f t="shared" si="142"/>
        <v>0</v>
      </c>
      <c r="P249" s="39">
        <f t="shared" si="142"/>
        <v>0</v>
      </c>
      <c r="Q249" s="39">
        <f t="shared" si="142"/>
        <v>0</v>
      </c>
      <c r="R249" s="39">
        <f t="shared" si="142"/>
        <v>0</v>
      </c>
      <c r="S249" s="39">
        <f t="shared" si="142"/>
        <v>0</v>
      </c>
      <c r="T249" s="39">
        <f t="shared" si="142"/>
        <v>0</v>
      </c>
      <c r="U249" s="39">
        <f t="shared" si="142"/>
        <v>0</v>
      </c>
      <c r="V249" s="39">
        <f t="shared" si="142"/>
        <v>0</v>
      </c>
      <c r="W249" s="39">
        <f t="shared" si="142"/>
        <v>0</v>
      </c>
      <c r="X249" s="39">
        <f t="shared" si="142"/>
        <v>0</v>
      </c>
    </row>
    <row r="250" spans="2:59" x14ac:dyDescent="0.25">
      <c r="C250" s="31" t="str">
        <f t="shared" si="136"/>
        <v>Appraisal fee</v>
      </c>
      <c r="E250" s="31" t="s">
        <v>292</v>
      </c>
      <c r="I250" s="39">
        <f t="shared" ref="I250:X250" si="143">-I64/I$55</f>
        <v>1.6759581336513715E-2</v>
      </c>
      <c r="J250" s="39">
        <f t="shared" si="143"/>
        <v>6.5857833446702997E-3</v>
      </c>
      <c r="K250" s="39">
        <f t="shared" si="143"/>
        <v>3.4716051977003669E-3</v>
      </c>
      <c r="L250" s="39">
        <f t="shared" si="143"/>
        <v>4.1014409591802831E-2</v>
      </c>
      <c r="M250" s="39">
        <f t="shared" si="143"/>
        <v>1.246054795030292E-2</v>
      </c>
      <c r="N250" s="39">
        <f t="shared" si="143"/>
        <v>3.5148539564000589E-2</v>
      </c>
      <c r="O250" s="39">
        <f t="shared" si="143"/>
        <v>4.2391629433408559E-2</v>
      </c>
      <c r="P250" s="39">
        <f t="shared" si="143"/>
        <v>3.237402694391505E-2</v>
      </c>
      <c r="Q250" s="39">
        <f t="shared" si="143"/>
        <v>2.5607768037539412E-2</v>
      </c>
      <c r="R250" s="39">
        <f t="shared" si="143"/>
        <v>3.4067244716658444E-2</v>
      </c>
      <c r="S250" s="39">
        <f t="shared" si="143"/>
        <v>1.7343856071813896E-2</v>
      </c>
      <c r="T250" s="39">
        <f t="shared" si="143"/>
        <v>2.5771747742399126E-2</v>
      </c>
      <c r="U250" s="39">
        <f t="shared" si="143"/>
        <v>4.0450267502679056E-2</v>
      </c>
      <c r="V250" s="39">
        <f t="shared" si="143"/>
        <v>0.12140035999277633</v>
      </c>
      <c r="W250" s="39">
        <f t="shared" si="143"/>
        <v>1.9100916394241534E-2</v>
      </c>
      <c r="X250" s="39">
        <f t="shared" si="143"/>
        <v>4.9364107822537223E-2</v>
      </c>
    </row>
    <row r="251" spans="2:59" x14ac:dyDescent="0.25">
      <c r="C251" s="31" t="str">
        <f t="shared" si="136"/>
        <v>Other Expenses</v>
      </c>
      <c r="E251" s="31" t="s">
        <v>292</v>
      </c>
      <c r="I251" s="39">
        <f t="shared" ref="I251:X251" si="144">-I65/I$55</f>
        <v>-1.3729109841340827E-5</v>
      </c>
      <c r="J251" s="39">
        <f t="shared" si="144"/>
        <v>6.6829436503140522E-4</v>
      </c>
      <c r="K251" s="39">
        <f t="shared" si="144"/>
        <v>6.1515409687786231E-4</v>
      </c>
      <c r="L251" s="39">
        <f t="shared" si="144"/>
        <v>1.6864695725523507E-3</v>
      </c>
      <c r="M251" s="39">
        <f t="shared" si="144"/>
        <v>2.2152379559730174E-3</v>
      </c>
      <c r="N251" s="39">
        <f t="shared" si="144"/>
        <v>1.3184055839075567E-5</v>
      </c>
      <c r="O251" s="39">
        <f t="shared" si="144"/>
        <v>1.29170050285519E-3</v>
      </c>
      <c r="P251" s="39">
        <f t="shared" si="144"/>
        <v>3.6436916999452434E-5</v>
      </c>
      <c r="Q251" s="39">
        <f t="shared" si="144"/>
        <v>2.2350091681862716E-4</v>
      </c>
      <c r="R251" s="39">
        <f t="shared" si="144"/>
        <v>2.2172568131999666E-4</v>
      </c>
      <c r="S251" s="39">
        <f t="shared" si="144"/>
        <v>6.4396585595322808E-3</v>
      </c>
      <c r="T251" s="39">
        <f t="shared" si="144"/>
        <v>2.2475037965568464E-4</v>
      </c>
      <c r="U251" s="39">
        <f t="shared" si="144"/>
        <v>-1.3653346658611155E-3</v>
      </c>
      <c r="V251" s="39">
        <f t="shared" si="144"/>
        <v>1.7051036021107404E-4</v>
      </c>
      <c r="W251" s="39">
        <f t="shared" si="144"/>
        <v>2.399092602355723E-4</v>
      </c>
      <c r="X251" s="39">
        <f t="shared" si="144"/>
        <v>8.8930778018530307E-4</v>
      </c>
    </row>
    <row r="252" spans="2:59" s="18" customFormat="1" x14ac:dyDescent="0.25">
      <c r="C252" s="19" t="str">
        <f t="shared" si="136"/>
        <v xml:space="preserve">Total fees and commission expenses </v>
      </c>
      <c r="E252" s="31" t="s">
        <v>292</v>
      </c>
      <c r="I252" s="64">
        <f t="shared" ref="I252:X252" si="145">-I66/I$55</f>
        <v>2.1893709405978803E-2</v>
      </c>
      <c r="J252" s="64">
        <f t="shared" si="145"/>
        <v>4.410920842092076E-2</v>
      </c>
      <c r="K252" s="64">
        <f t="shared" si="145"/>
        <v>0.32682615021619016</v>
      </c>
      <c r="L252" s="64">
        <f t="shared" si="145"/>
        <v>5.6252673033569983E-2</v>
      </c>
      <c r="M252" s="64">
        <f t="shared" si="145"/>
        <v>2.2173498415822505E-2</v>
      </c>
      <c r="N252" s="64">
        <f t="shared" si="145"/>
        <v>4.9808922213974732E-2</v>
      </c>
      <c r="O252" s="64">
        <f t="shared" si="145"/>
        <v>5.4414102435875272E-2</v>
      </c>
      <c r="P252" s="64">
        <f t="shared" si="145"/>
        <v>5.1125750626561703E-2</v>
      </c>
      <c r="Q252" s="64">
        <f t="shared" si="145"/>
        <v>4.1496063251894852E-2</v>
      </c>
      <c r="R252" s="64">
        <f t="shared" si="145"/>
        <v>4.8463858333663269E-2</v>
      </c>
      <c r="S252" s="64">
        <f t="shared" si="145"/>
        <v>4.0451319283135168E-2</v>
      </c>
      <c r="T252" s="64">
        <f t="shared" si="145"/>
        <v>4.7441356005825261E-2</v>
      </c>
      <c r="U252" s="64">
        <f t="shared" si="145"/>
        <v>7.4689571967814741E-2</v>
      </c>
      <c r="V252" s="64">
        <f t="shared" si="145"/>
        <v>0.14791051381328402</v>
      </c>
      <c r="W252" s="64">
        <f t="shared" si="145"/>
        <v>3.3683147503618845E-2</v>
      </c>
      <c r="X252" s="64">
        <f t="shared" si="145"/>
        <v>8.3503175723650236E-2</v>
      </c>
    </row>
    <row r="253" spans="2:59" x14ac:dyDescent="0.25">
      <c r="C253" s="31">
        <f t="shared" si="136"/>
        <v>0</v>
      </c>
    </row>
    <row r="254" spans="2:59" x14ac:dyDescent="0.25">
      <c r="C254" s="31" t="str">
        <f t="shared" si="136"/>
        <v>Other Expenses</v>
      </c>
      <c r="E254" s="31" t="s">
        <v>292</v>
      </c>
      <c r="I254" s="39">
        <f t="shared" ref="I254:X254" si="146">-I68/I$55</f>
        <v>8.7698086771359042E-6</v>
      </c>
      <c r="J254" s="39">
        <f t="shared" si="146"/>
        <v>3.2936083688201183E-4</v>
      </c>
      <c r="K254" s="39">
        <f t="shared" si="146"/>
        <v>0</v>
      </c>
      <c r="L254" s="39">
        <f t="shared" si="146"/>
        <v>0</v>
      </c>
      <c r="M254" s="39">
        <f t="shared" si="146"/>
        <v>0</v>
      </c>
      <c r="N254" s="39">
        <f t="shared" si="146"/>
        <v>0</v>
      </c>
      <c r="O254" s="39">
        <f t="shared" si="146"/>
        <v>4.4500161188869743E-3</v>
      </c>
      <c r="P254" s="39">
        <f t="shared" si="146"/>
        <v>2.3701377059487707E-5</v>
      </c>
      <c r="Q254" s="39">
        <f t="shared" si="146"/>
        <v>0</v>
      </c>
      <c r="R254" s="39">
        <f t="shared" si="146"/>
        <v>2.9960160698094792E-3</v>
      </c>
      <c r="S254" s="39">
        <f t="shared" si="146"/>
        <v>1.6046793734272638E-4</v>
      </c>
      <c r="T254" s="39">
        <f t="shared" si="146"/>
        <v>0</v>
      </c>
      <c r="U254" s="39">
        <f t="shared" si="146"/>
        <v>1.5499315085266383E-4</v>
      </c>
      <c r="V254" s="39">
        <f t="shared" si="146"/>
        <v>0</v>
      </c>
      <c r="W254" s="39">
        <f t="shared" si="146"/>
        <v>0</v>
      </c>
      <c r="X254" s="39">
        <f t="shared" si="146"/>
        <v>0</v>
      </c>
    </row>
    <row r="255" spans="2:59" x14ac:dyDescent="0.25">
      <c r="C255" s="31">
        <f t="shared" si="136"/>
        <v>0</v>
      </c>
    </row>
    <row r="256" spans="2:59" x14ac:dyDescent="0.25">
      <c r="C256" s="31" t="str">
        <f t="shared" si="136"/>
        <v>Total Provision for Loan Losses</v>
      </c>
      <c r="E256" s="31" t="s">
        <v>292</v>
      </c>
      <c r="I256" s="39">
        <f t="shared" ref="I256:X256" si="147">-I70/I$55</f>
        <v>4.7731309473470429E-2</v>
      </c>
      <c r="J256" s="39">
        <f t="shared" si="147"/>
        <v>6.2819725092301262E-3</v>
      </c>
      <c r="K256" s="39">
        <f t="shared" si="147"/>
        <v>0.20389039512664198</v>
      </c>
      <c r="L256" s="39">
        <f t="shared" si="147"/>
        <v>7.7101496070698661E-2</v>
      </c>
      <c r="M256" s="39">
        <f t="shared" si="147"/>
        <v>4.1432698410256763E-2</v>
      </c>
      <c r="N256" s="39">
        <f t="shared" si="147"/>
        <v>3.4513673619307898E-2</v>
      </c>
      <c r="O256" s="39">
        <f t="shared" si="147"/>
        <v>3.7690770066035272E-3</v>
      </c>
      <c r="P256" s="39">
        <f t="shared" si="147"/>
        <v>-2.8511476728202499E-2</v>
      </c>
      <c r="Q256" s="39">
        <f t="shared" si="147"/>
        <v>0.45736303879670004</v>
      </c>
      <c r="R256" s="39">
        <f t="shared" si="147"/>
        <v>-9.4922154712118456E-3</v>
      </c>
      <c r="S256" s="39">
        <f t="shared" si="147"/>
        <v>-9.3932996131358734E-2</v>
      </c>
      <c r="T256" s="39">
        <f t="shared" si="147"/>
        <v>3.2180415808229626E-2</v>
      </c>
      <c r="U256" s="39">
        <f t="shared" si="147"/>
        <v>0.34312189994324149</v>
      </c>
      <c r="V256" s="39">
        <f t="shared" si="147"/>
        <v>9.8981025959567301E-2</v>
      </c>
      <c r="W256" s="39">
        <f t="shared" si="147"/>
        <v>-1.4747436230246097E-2</v>
      </c>
      <c r="X256" s="39">
        <f t="shared" si="147"/>
        <v>5.8456986050775497E-2</v>
      </c>
    </row>
    <row r="257" spans="3:24" x14ac:dyDescent="0.25">
      <c r="C257" s="31">
        <f t="shared" si="136"/>
        <v>0</v>
      </c>
    </row>
    <row r="258" spans="3:24" x14ac:dyDescent="0.25">
      <c r="C258" s="31" t="str">
        <f t="shared" si="136"/>
        <v>Staff salaries</v>
      </c>
      <c r="E258" s="31" t="s">
        <v>292</v>
      </c>
      <c r="I258" s="39">
        <f t="shared" ref="I258:X258" si="148">-I72/I$55</f>
        <v>3.7499727546148554E-2</v>
      </c>
      <c r="J258" s="39">
        <f t="shared" si="148"/>
        <v>4.3181049953320463E-2</v>
      </c>
      <c r="K258" s="39">
        <f t="shared" si="148"/>
        <v>0.12884310281424091</v>
      </c>
      <c r="L258" s="39">
        <f t="shared" si="148"/>
        <v>0.1379080795556184</v>
      </c>
      <c r="M258" s="39">
        <f t="shared" si="148"/>
        <v>0.10457566066754989</v>
      </c>
      <c r="N258" s="39">
        <f t="shared" si="148"/>
        <v>0.1201665751799226</v>
      </c>
      <c r="O258" s="39">
        <f t="shared" si="148"/>
        <v>9.7467535856113882E-2</v>
      </c>
      <c r="P258" s="39">
        <f t="shared" si="148"/>
        <v>0.11353692774091652</v>
      </c>
      <c r="Q258" s="39">
        <f t="shared" si="148"/>
        <v>0.12581649171555601</v>
      </c>
      <c r="R258" s="39">
        <f t="shared" si="148"/>
        <v>8.5243859575533723E-2</v>
      </c>
      <c r="S258" s="39">
        <f t="shared" si="148"/>
        <v>0.1586743470900624</v>
      </c>
      <c r="T258" s="39">
        <f t="shared" si="148"/>
        <v>0.18603395577691367</v>
      </c>
      <c r="U258" s="39">
        <f t="shared" si="148"/>
        <v>0.2603948481516602</v>
      </c>
      <c r="V258" s="39">
        <f t="shared" si="148"/>
        <v>0.24368684994413564</v>
      </c>
      <c r="W258" s="39">
        <f t="shared" si="148"/>
        <v>0.11081811394884532</v>
      </c>
      <c r="X258" s="39">
        <f t="shared" si="148"/>
        <v>0.24816037726609302</v>
      </c>
    </row>
    <row r="259" spans="3:24" x14ac:dyDescent="0.25">
      <c r="C259" s="31" t="str">
        <f t="shared" si="136"/>
        <v>House alowance</v>
      </c>
      <c r="E259" s="31" t="s">
        <v>292</v>
      </c>
      <c r="I259" s="39">
        <f t="shared" ref="I259:X259" si="149">-I73/I$55</f>
        <v>8.733196008044633E-3</v>
      </c>
      <c r="J259" s="39">
        <f t="shared" si="149"/>
        <v>1.0188265073783013E-2</v>
      </c>
      <c r="K259" s="39">
        <f t="shared" si="149"/>
        <v>3.0740414198885815E-2</v>
      </c>
      <c r="L259" s="39">
        <f t="shared" si="149"/>
        <v>3.2260726596825905E-2</v>
      </c>
      <c r="M259" s="39">
        <f t="shared" si="149"/>
        <v>2.5110152347135463E-2</v>
      </c>
      <c r="N259" s="39">
        <f t="shared" si="149"/>
        <v>2.8609056239100518E-2</v>
      </c>
      <c r="O259" s="39">
        <f t="shared" si="149"/>
        <v>2.3969612559933295E-2</v>
      </c>
      <c r="P259" s="39">
        <f t="shared" si="149"/>
        <v>2.7275355109041978E-2</v>
      </c>
      <c r="Q259" s="39">
        <f t="shared" si="149"/>
        <v>2.8591065044743669E-2</v>
      </c>
      <c r="R259" s="39">
        <f t="shared" si="149"/>
        <v>1.9305173334707895E-2</v>
      </c>
      <c r="S259" s="39">
        <f t="shared" si="149"/>
        <v>3.4470077503606721E-2</v>
      </c>
      <c r="T259" s="39">
        <f t="shared" si="149"/>
        <v>4.1141947778025399E-2</v>
      </c>
      <c r="U259" s="39">
        <f t="shared" si="149"/>
        <v>5.6562812989294005E-2</v>
      </c>
      <c r="V259" s="39">
        <f t="shared" si="149"/>
        <v>5.8805673359145383E-2</v>
      </c>
      <c r="W259" s="39">
        <f t="shared" si="149"/>
        <v>2.4472800104591425E-2</v>
      </c>
      <c r="X259" s="39">
        <f t="shared" si="149"/>
        <v>5.5528023143858678E-2</v>
      </c>
    </row>
    <row r="260" spans="3:24" x14ac:dyDescent="0.25">
      <c r="C260" s="31" t="str">
        <f t="shared" si="136"/>
        <v>Other personnel expenses</v>
      </c>
      <c r="E260" s="31" t="s">
        <v>292</v>
      </c>
      <c r="I260" s="39">
        <f t="shared" ref="I260:X260" si="150">-I74/I$55</f>
        <v>2.4447959775810869E-2</v>
      </c>
      <c r="J260" s="39">
        <f t="shared" si="150"/>
        <v>2.1427608909757062E-2</v>
      </c>
      <c r="K260" s="39">
        <f t="shared" si="150"/>
        <v>6.4100441059914248E-2</v>
      </c>
      <c r="L260" s="39">
        <f t="shared" si="150"/>
        <v>7.2931278149617917E-2</v>
      </c>
      <c r="M260" s="39">
        <f t="shared" si="150"/>
        <v>4.5138614852605063E-2</v>
      </c>
      <c r="N260" s="39">
        <f t="shared" si="150"/>
        <v>5.8028797772201171E-2</v>
      </c>
      <c r="O260" s="39">
        <f t="shared" si="150"/>
        <v>5.8196756492372624E-2</v>
      </c>
      <c r="P260" s="39">
        <f t="shared" si="150"/>
        <v>2.887791581846022E-2</v>
      </c>
      <c r="Q260" s="39">
        <f t="shared" si="150"/>
        <v>5.9572966504768281E-2</v>
      </c>
      <c r="R260" s="39">
        <f t="shared" si="150"/>
        <v>6.2824725482985219E-2</v>
      </c>
      <c r="S260" s="39">
        <f t="shared" si="150"/>
        <v>0.13074951604875948</v>
      </c>
      <c r="T260" s="39">
        <f t="shared" si="150"/>
        <v>0.12656200123078648</v>
      </c>
      <c r="U260" s="39">
        <f t="shared" si="150"/>
        <v>0.15569069752807624</v>
      </c>
      <c r="V260" s="39">
        <f t="shared" si="150"/>
        <v>0.12629086384374646</v>
      </c>
      <c r="W260" s="39">
        <f t="shared" si="150"/>
        <v>0.1019995057080805</v>
      </c>
      <c r="X260" s="39">
        <f t="shared" si="150"/>
        <v>0.1786473552372197</v>
      </c>
    </row>
    <row r="261" spans="3:24" s="18" customFormat="1" x14ac:dyDescent="0.25">
      <c r="C261" s="19" t="str">
        <f t="shared" si="136"/>
        <v xml:space="preserve">Total personnel expenses </v>
      </c>
      <c r="E261" s="31" t="s">
        <v>292</v>
      </c>
      <c r="I261" s="64">
        <f t="shared" ref="I261:X261" si="151">-I75/I$55</f>
        <v>7.0680883330004052E-2</v>
      </c>
      <c r="J261" s="64">
        <f t="shared" si="151"/>
        <v>7.4796923936860535E-2</v>
      </c>
      <c r="K261" s="64">
        <f t="shared" si="151"/>
        <v>0.22368395807304098</v>
      </c>
      <c r="L261" s="64">
        <f t="shared" si="151"/>
        <v>0.24310008430206223</v>
      </c>
      <c r="M261" s="64">
        <f t="shared" si="151"/>
        <v>0.17482442786729041</v>
      </c>
      <c r="N261" s="64">
        <f t="shared" si="151"/>
        <v>0.2068044291912243</v>
      </c>
      <c r="O261" s="64">
        <f t="shared" si="151"/>
        <v>0.17963390490841979</v>
      </c>
      <c r="P261" s="64">
        <f t="shared" si="151"/>
        <v>0.16969019866841872</v>
      </c>
      <c r="Q261" s="64">
        <f t="shared" si="151"/>
        <v>0.21398052326506797</v>
      </c>
      <c r="R261" s="64">
        <f t="shared" si="151"/>
        <v>0.16737375839322685</v>
      </c>
      <c r="S261" s="64">
        <f t="shared" si="151"/>
        <v>0.32389394064242855</v>
      </c>
      <c r="T261" s="64">
        <f t="shared" si="151"/>
        <v>0.35373790478572553</v>
      </c>
      <c r="U261" s="64">
        <f t="shared" si="151"/>
        <v>0.47264835866903043</v>
      </c>
      <c r="V261" s="64">
        <f t="shared" si="151"/>
        <v>0.42878338714702746</v>
      </c>
      <c r="W261" s="64">
        <f t="shared" si="151"/>
        <v>0.23729041976151724</v>
      </c>
      <c r="X261" s="64">
        <f t="shared" si="151"/>
        <v>0.4823357556471714</v>
      </c>
    </row>
    <row r="262" spans="3:24" x14ac:dyDescent="0.25">
      <c r="C262" s="31">
        <f t="shared" si="136"/>
        <v>0</v>
      </c>
    </row>
    <row r="263" spans="3:24" x14ac:dyDescent="0.25">
      <c r="C263" s="31" t="str">
        <f t="shared" si="136"/>
        <v>Total governance Expenses</v>
      </c>
      <c r="E263" s="31" t="s">
        <v>292</v>
      </c>
      <c r="I263" s="39">
        <f t="shared" ref="I263:X263" si="152">-I77/I$55</f>
        <v>3.0288103600673171E-2</v>
      </c>
      <c r="J263" s="39">
        <f t="shared" si="152"/>
        <v>4.3318180924074939E-2</v>
      </c>
      <c r="K263" s="39">
        <f t="shared" si="152"/>
        <v>5.4033745309027451E-2</v>
      </c>
      <c r="L263" s="39">
        <f t="shared" si="152"/>
        <v>5.305265341615386E-2</v>
      </c>
      <c r="M263" s="39">
        <f t="shared" si="152"/>
        <v>6.2105202253218389E-2</v>
      </c>
      <c r="N263" s="39">
        <f t="shared" si="152"/>
        <v>4.6358417181277603E-2</v>
      </c>
      <c r="O263" s="39">
        <f t="shared" si="152"/>
        <v>4.4270680038872467E-2</v>
      </c>
      <c r="P263" s="39">
        <f t="shared" si="152"/>
        <v>5.4509090599967495E-2</v>
      </c>
      <c r="Q263" s="39">
        <f t="shared" si="152"/>
        <v>5.0104608197729994E-2</v>
      </c>
      <c r="R263" s="39">
        <f t="shared" si="152"/>
        <v>2.6005691566647709E-2</v>
      </c>
      <c r="S263" s="39">
        <f t="shared" si="152"/>
        <v>5.479402375679672E-2</v>
      </c>
      <c r="T263" s="39">
        <f t="shared" si="152"/>
        <v>2.4832802963233619E-2</v>
      </c>
      <c r="U263" s="39">
        <f t="shared" si="152"/>
        <v>3.4318040985768836E-2</v>
      </c>
      <c r="V263" s="39">
        <f t="shared" si="152"/>
        <v>3.5792807685667165E-2</v>
      </c>
      <c r="W263" s="39">
        <f t="shared" si="152"/>
        <v>3.7706132950785065E-2</v>
      </c>
      <c r="X263" s="39">
        <f t="shared" si="152"/>
        <v>0</v>
      </c>
    </row>
    <row r="264" spans="3:24" x14ac:dyDescent="0.25">
      <c r="C264" s="31">
        <f t="shared" si="136"/>
        <v>0</v>
      </c>
    </row>
    <row r="265" spans="3:24" x14ac:dyDescent="0.25">
      <c r="C265" s="31" t="str">
        <f t="shared" si="136"/>
        <v>Total Marketing Expenses</v>
      </c>
      <c r="E265" s="31" t="s">
        <v>292</v>
      </c>
      <c r="I265" s="39">
        <f t="shared" ref="I265:X265" si="153">-I79/I$55</f>
        <v>7.5902437673456939E-4</v>
      </c>
      <c r="J265" s="39">
        <f t="shared" si="153"/>
        <v>1.1197127217547371E-3</v>
      </c>
      <c r="K265" s="39">
        <f t="shared" si="153"/>
        <v>4.7461335879344646E-3</v>
      </c>
      <c r="L265" s="39">
        <f t="shared" si="153"/>
        <v>3.3427420307637922E-3</v>
      </c>
      <c r="M265" s="39">
        <f t="shared" si="153"/>
        <v>2.2949901605438366E-4</v>
      </c>
      <c r="N265" s="39">
        <f t="shared" si="153"/>
        <v>2.2949455338483866E-3</v>
      </c>
      <c r="O265" s="39">
        <f t="shared" si="153"/>
        <v>1.882634347785986E-3</v>
      </c>
      <c r="P265" s="39">
        <f t="shared" si="153"/>
        <v>1.8739098749132963E-3</v>
      </c>
      <c r="Q265" s="39">
        <f t="shared" si="153"/>
        <v>3.2716224015742279E-3</v>
      </c>
      <c r="R265" s="39">
        <f t="shared" si="153"/>
        <v>1.5258618662064103E-3</v>
      </c>
      <c r="S265" s="39">
        <f t="shared" si="153"/>
        <v>6.2443690797861825E-3</v>
      </c>
      <c r="T265" s="39">
        <f t="shared" si="153"/>
        <v>9.1922905279175019E-3</v>
      </c>
      <c r="U265" s="39">
        <f t="shared" si="153"/>
        <v>4.5905096453787708E-3</v>
      </c>
      <c r="V265" s="39">
        <f t="shared" si="153"/>
        <v>1.1548901664817752E-2</v>
      </c>
      <c r="W265" s="39">
        <f t="shared" si="153"/>
        <v>2.819919350503684E-3</v>
      </c>
      <c r="X265" s="39">
        <f t="shared" si="153"/>
        <v>3.4357425642642402E-2</v>
      </c>
    </row>
    <row r="266" spans="3:24" x14ac:dyDescent="0.25">
      <c r="C266" s="31">
        <f t="shared" si="136"/>
        <v>0</v>
      </c>
    </row>
    <row r="267" spans="3:24" x14ac:dyDescent="0.25">
      <c r="C267" s="31" t="str">
        <f t="shared" si="136"/>
        <v>Total Depreciation and amortization</v>
      </c>
      <c r="E267" s="31" t="s">
        <v>292</v>
      </c>
      <c r="I267" s="39">
        <f t="shared" ref="I267:X267" si="154">-I81/I$55</f>
        <v>8.0691984061513795E-4</v>
      </c>
      <c r="J267" s="39">
        <f t="shared" si="154"/>
        <v>6.7994410662146614E-4</v>
      </c>
      <c r="K267" s="39">
        <f t="shared" si="154"/>
        <v>4.1296318714325198E-3</v>
      </c>
      <c r="L267" s="39">
        <f t="shared" si="154"/>
        <v>2.9668129430114776E-3</v>
      </c>
      <c r="M267" s="39">
        <f t="shared" si="154"/>
        <v>2.240457715741761E-3</v>
      </c>
      <c r="N267" s="39">
        <f t="shared" si="154"/>
        <v>4.5255229811219846E-3</v>
      </c>
      <c r="O267" s="39">
        <f t="shared" si="154"/>
        <v>2.378070349011495E-3</v>
      </c>
      <c r="P267" s="39">
        <f t="shared" si="154"/>
        <v>5.7291442655734879E-3</v>
      </c>
      <c r="Q267" s="39">
        <f t="shared" si="154"/>
        <v>4.1450604712118264E-3</v>
      </c>
      <c r="R267" s="39">
        <f t="shared" si="154"/>
        <v>4.2489649202017872E-3</v>
      </c>
      <c r="S267" s="39">
        <f t="shared" si="154"/>
        <v>7.0808483201694802E-3</v>
      </c>
      <c r="T267" s="39">
        <f t="shared" si="154"/>
        <v>5.8138583976922367E-3</v>
      </c>
      <c r="U267" s="39">
        <f t="shared" si="154"/>
        <v>5.4115858620207577E-3</v>
      </c>
      <c r="V267" s="39">
        <f t="shared" si="154"/>
        <v>1.5323467599657867E-2</v>
      </c>
      <c r="W267" s="39">
        <f t="shared" si="154"/>
        <v>6.77098833632699E-3</v>
      </c>
      <c r="X267" s="39">
        <f t="shared" si="154"/>
        <v>2.5192276981537223E-2</v>
      </c>
    </row>
    <row r="268" spans="3:24" x14ac:dyDescent="0.25">
      <c r="C268" s="31">
        <f t="shared" si="136"/>
        <v>0</v>
      </c>
    </row>
    <row r="269" spans="3:24" x14ac:dyDescent="0.25">
      <c r="C269" s="31" t="str">
        <f t="shared" si="136"/>
        <v>Security</v>
      </c>
      <c r="E269" s="31" t="s">
        <v>292</v>
      </c>
      <c r="I269" s="39">
        <f t="shared" ref="I269:X269" si="155">-I83/I$55</f>
        <v>8.7563975369658979E-3</v>
      </c>
      <c r="J269" s="39">
        <f t="shared" si="155"/>
        <v>8.0759368502384583E-3</v>
      </c>
      <c r="K269" s="39">
        <f t="shared" si="155"/>
        <v>4.1749438682165053E-2</v>
      </c>
      <c r="L269" s="39">
        <f t="shared" si="155"/>
        <v>3.3961402376834142E-2</v>
      </c>
      <c r="M269" s="39">
        <f t="shared" si="155"/>
        <v>1.6159746569897254E-2</v>
      </c>
      <c r="N269" s="39">
        <f t="shared" si="155"/>
        <v>3.503202930309713E-2</v>
      </c>
      <c r="O269" s="39">
        <f t="shared" si="155"/>
        <v>1.6319127406839707E-2</v>
      </c>
      <c r="P269" s="39">
        <f t="shared" si="155"/>
        <v>2.8676169696929859E-2</v>
      </c>
      <c r="Q269" s="39">
        <f t="shared" si="155"/>
        <v>3.9183933092570171E-2</v>
      </c>
      <c r="R269" s="39">
        <f t="shared" si="155"/>
        <v>2.6210297402144474E-2</v>
      </c>
      <c r="S269" s="39">
        <f t="shared" si="155"/>
        <v>6.6029667793659735E-2</v>
      </c>
      <c r="T269" s="39">
        <f t="shared" si="155"/>
        <v>7.7576765884316529E-2</v>
      </c>
      <c r="U269" s="39">
        <f t="shared" si="155"/>
        <v>0.1029387786353721</v>
      </c>
      <c r="V269" s="39">
        <f t="shared" si="155"/>
        <v>0.11935812533860952</v>
      </c>
      <c r="W269" s="39">
        <f t="shared" si="155"/>
        <v>4.6090173161829749E-2</v>
      </c>
      <c r="X269" s="39">
        <f t="shared" si="155"/>
        <v>0.12805062930433059</v>
      </c>
    </row>
    <row r="270" spans="3:24" x14ac:dyDescent="0.25">
      <c r="C270" s="31" t="str">
        <f t="shared" si="136"/>
        <v>Other Admin Expenses</v>
      </c>
      <c r="E270" s="31" t="s">
        <v>292</v>
      </c>
      <c r="I270" s="39">
        <f t="shared" ref="I270:X270" si="156">-I84/I$55</f>
        <v>2.468977058231786E-2</v>
      </c>
      <c r="J270" s="39">
        <f t="shared" si="156"/>
        <v>1.973577610032962E-2</v>
      </c>
      <c r="K270" s="39">
        <f t="shared" si="156"/>
        <v>5.658826109102371E-2</v>
      </c>
      <c r="L270" s="39">
        <f t="shared" si="156"/>
        <v>4.8708088207841241E-2</v>
      </c>
      <c r="M270" s="39">
        <f t="shared" si="156"/>
        <v>4.293602267936962E-2</v>
      </c>
      <c r="N270" s="39">
        <f t="shared" si="156"/>
        <v>6.5889369483069074E-2</v>
      </c>
      <c r="O270" s="39">
        <f t="shared" si="156"/>
        <v>3.2741883916073695E-2</v>
      </c>
      <c r="P270" s="39">
        <f t="shared" si="156"/>
        <v>6.8028261269191051E-2</v>
      </c>
      <c r="Q270" s="39">
        <f t="shared" si="156"/>
        <v>9.6047232151192791E-2</v>
      </c>
      <c r="R270" s="39">
        <f t="shared" si="156"/>
        <v>6.8253826095400705E-2</v>
      </c>
      <c r="S270" s="39">
        <f t="shared" si="156"/>
        <v>9.5829887618687104E-2</v>
      </c>
      <c r="T270" s="39">
        <f t="shared" si="156"/>
        <v>0.20755191316535432</v>
      </c>
      <c r="U270" s="39">
        <f t="shared" si="156"/>
        <v>0.12860060713917051</v>
      </c>
      <c r="V270" s="39">
        <f t="shared" si="156"/>
        <v>9.5182804490582432E-2</v>
      </c>
      <c r="W270" s="39">
        <f t="shared" si="156"/>
        <v>5.8217107574552014E-2</v>
      </c>
      <c r="X270" s="39">
        <f t="shared" si="156"/>
        <v>0.29719529893721225</v>
      </c>
    </row>
    <row r="271" spans="3:24" s="18" customFormat="1" x14ac:dyDescent="0.25">
      <c r="C271" s="19" t="str">
        <f t="shared" si="136"/>
        <v>Total Admin expenses</v>
      </c>
      <c r="E271" s="31" t="s">
        <v>292</v>
      </c>
      <c r="I271" s="64">
        <f t="shared" ref="I271:X271" si="157">I85/I$87</f>
        <v>8.4556578609049679E-2</v>
      </c>
      <c r="J271" s="64">
        <f t="shared" si="157"/>
        <v>9.0693273928386331E-2</v>
      </c>
      <c r="K271" s="64">
        <f t="shared" si="157"/>
        <v>9.5070797310634947E-2</v>
      </c>
      <c r="L271" s="64">
        <f t="shared" si="157"/>
        <v>0.10712919460452427</v>
      </c>
      <c r="M271" s="64">
        <f t="shared" si="157"/>
        <v>9.3311385950588577E-2</v>
      </c>
      <c r="N271" s="64">
        <f t="shared" si="157"/>
        <v>0.16161004696704237</v>
      </c>
      <c r="O271" s="64">
        <f t="shared" si="157"/>
        <v>9.0885598731421144E-2</v>
      </c>
      <c r="P271" s="64">
        <f t="shared" si="157"/>
        <v>0.13604235577784646</v>
      </c>
      <c r="Q271" s="64">
        <f t="shared" si="157"/>
        <v>0.11532917935333065</v>
      </c>
      <c r="R271" s="64">
        <f t="shared" si="157"/>
        <v>0.1837970397705653</v>
      </c>
      <c r="S271" s="64">
        <f t="shared" si="157"/>
        <v>0.30602302775141216</v>
      </c>
      <c r="T271" s="64">
        <f t="shared" si="157"/>
        <v>0.27035441154913442</v>
      </c>
      <c r="U271" s="64">
        <f t="shared" si="157"/>
        <v>0.17483749887571581</v>
      </c>
      <c r="V271" s="64">
        <f t="shared" si="157"/>
        <v>0.18222048452493139</v>
      </c>
      <c r="W271" s="64">
        <f t="shared" si="157"/>
        <v>0.20747238170300006</v>
      </c>
      <c r="X271" s="64">
        <f t="shared" si="157"/>
        <v>0.34198538534978112</v>
      </c>
    </row>
    <row r="272" spans="3:24" x14ac:dyDescent="0.25">
      <c r="C272" s="31">
        <f t="shared" si="136"/>
        <v>0</v>
      </c>
    </row>
    <row r="273" spans="2:59" s="18" customFormat="1" x14ac:dyDescent="0.25">
      <c r="C273" s="19" t="str">
        <f t="shared" si="136"/>
        <v>Total Expenses</v>
      </c>
      <c r="E273" s="31" t="s">
        <v>292</v>
      </c>
      <c r="I273" s="64">
        <f t="shared" ref="I273:X273" si="158">I87/I$87</f>
        <v>1</v>
      </c>
      <c r="J273" s="64">
        <f t="shared" si="158"/>
        <v>1</v>
      </c>
      <c r="K273" s="64">
        <f t="shared" si="158"/>
        <v>1</v>
      </c>
      <c r="L273" s="64">
        <f t="shared" si="158"/>
        <v>1</v>
      </c>
      <c r="M273" s="64">
        <f t="shared" si="158"/>
        <v>1</v>
      </c>
      <c r="N273" s="64">
        <f t="shared" si="158"/>
        <v>1</v>
      </c>
      <c r="O273" s="64">
        <f t="shared" si="158"/>
        <v>1</v>
      </c>
      <c r="P273" s="64">
        <f t="shared" si="158"/>
        <v>1</v>
      </c>
      <c r="Q273" s="64">
        <f t="shared" si="158"/>
        <v>1</v>
      </c>
      <c r="R273" s="64">
        <f t="shared" si="158"/>
        <v>1</v>
      </c>
      <c r="S273" s="64">
        <f t="shared" si="158"/>
        <v>1</v>
      </c>
      <c r="T273" s="64">
        <f t="shared" si="158"/>
        <v>1</v>
      </c>
      <c r="U273" s="64">
        <f t="shared" si="158"/>
        <v>1</v>
      </c>
      <c r="V273" s="64">
        <f t="shared" si="158"/>
        <v>1</v>
      </c>
      <c r="W273" s="64">
        <f t="shared" si="158"/>
        <v>1</v>
      </c>
      <c r="X273" s="64">
        <f t="shared" si="158"/>
        <v>1</v>
      </c>
    </row>
    <row r="274" spans="2:59" x14ac:dyDescent="0.25">
      <c r="C274" s="31">
        <f t="shared" si="136"/>
        <v>0</v>
      </c>
    </row>
    <row r="275" spans="2:59" x14ac:dyDescent="0.25">
      <c r="B275" s="42"/>
      <c r="C275" s="43" t="s">
        <v>295</v>
      </c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</row>
    <row r="276" spans="2:59" x14ac:dyDescent="0.25">
      <c r="C276" s="31"/>
    </row>
    <row r="277" spans="2:59" x14ac:dyDescent="0.25">
      <c r="C277" s="31" t="str">
        <f>C246</f>
        <v>Total interest expense on deposits</v>
      </c>
      <c r="E277" s="31" t="s">
        <v>292</v>
      </c>
      <c r="I277" s="39">
        <f>I246</f>
        <v>0.18993290583507683</v>
      </c>
      <c r="J277" s="39">
        <f t="shared" ref="J277:X277" si="159">J246</f>
        <v>0.10820982534001668</v>
      </c>
      <c r="K277" s="39">
        <f t="shared" si="159"/>
        <v>0.11871512463197421</v>
      </c>
      <c r="L277" s="39">
        <f t="shared" si="159"/>
        <v>0.25319436212022578</v>
      </c>
      <c r="M277" s="39">
        <f t="shared" si="159"/>
        <v>0.27121632834955989</v>
      </c>
      <c r="N277" s="39">
        <f t="shared" si="159"/>
        <v>0.17924747210580511</v>
      </c>
      <c r="O277" s="39">
        <f t="shared" si="159"/>
        <v>0.19995112262038223</v>
      </c>
      <c r="P277" s="39">
        <f t="shared" si="159"/>
        <v>0.35969585887327887</v>
      </c>
      <c r="Q277" s="39">
        <f t="shared" si="159"/>
        <v>0.26697470504327153</v>
      </c>
      <c r="R277" s="39">
        <f t="shared" si="159"/>
        <v>0.17837283600233833</v>
      </c>
      <c r="S277" s="39">
        <f t="shared" si="159"/>
        <v>2.8361464298812481E-2</v>
      </c>
      <c r="T277" s="39">
        <f t="shared" si="159"/>
        <v>0.29632046911857463</v>
      </c>
      <c r="U277" s="39">
        <f t="shared" si="159"/>
        <v>0.15783758515711191</v>
      </c>
      <c r="V277" s="39">
        <f t="shared" si="159"/>
        <v>0.22448895512791253</v>
      </c>
      <c r="W277" s="39">
        <f t="shared" si="159"/>
        <v>9.4922154372767228E-2</v>
      </c>
      <c r="X277" s="39">
        <f t="shared" si="159"/>
        <v>0.13437073536144856</v>
      </c>
    </row>
    <row r="278" spans="2:59" x14ac:dyDescent="0.25">
      <c r="C278" s="31" t="str">
        <f>C252</f>
        <v xml:space="preserve">Total fees and commission expenses </v>
      </c>
      <c r="E278" s="31" t="s">
        <v>292</v>
      </c>
      <c r="I278" s="39">
        <f>I252</f>
        <v>2.1893709405978803E-2</v>
      </c>
      <c r="J278" s="39">
        <f t="shared" ref="J278:X278" si="160">J252</f>
        <v>4.410920842092076E-2</v>
      </c>
      <c r="K278" s="39">
        <f t="shared" si="160"/>
        <v>0.32682615021619016</v>
      </c>
      <c r="L278" s="39">
        <f t="shared" si="160"/>
        <v>5.6252673033569983E-2</v>
      </c>
      <c r="M278" s="39">
        <f t="shared" si="160"/>
        <v>2.2173498415822505E-2</v>
      </c>
      <c r="N278" s="39">
        <f t="shared" si="160"/>
        <v>4.9808922213974732E-2</v>
      </c>
      <c r="O278" s="39">
        <f t="shared" si="160"/>
        <v>5.4414102435875272E-2</v>
      </c>
      <c r="P278" s="39">
        <f t="shared" si="160"/>
        <v>5.1125750626561703E-2</v>
      </c>
      <c r="Q278" s="39">
        <f t="shared" si="160"/>
        <v>4.1496063251894852E-2</v>
      </c>
      <c r="R278" s="39">
        <f t="shared" si="160"/>
        <v>4.8463858333663269E-2</v>
      </c>
      <c r="S278" s="39">
        <f t="shared" si="160"/>
        <v>4.0451319283135168E-2</v>
      </c>
      <c r="T278" s="39">
        <f t="shared" si="160"/>
        <v>4.7441356005825261E-2</v>
      </c>
      <c r="U278" s="39">
        <f t="shared" si="160"/>
        <v>7.4689571967814741E-2</v>
      </c>
      <c r="V278" s="39">
        <f t="shared" si="160"/>
        <v>0.14791051381328402</v>
      </c>
      <c r="W278" s="39">
        <f t="shared" si="160"/>
        <v>3.3683147503618845E-2</v>
      </c>
      <c r="X278" s="39">
        <f t="shared" si="160"/>
        <v>8.3503175723650236E-2</v>
      </c>
    </row>
    <row r="279" spans="2:59" x14ac:dyDescent="0.25">
      <c r="C279" s="31" t="str">
        <f>C254</f>
        <v>Other Expenses</v>
      </c>
      <c r="E279" s="31" t="s">
        <v>292</v>
      </c>
      <c r="I279" s="39">
        <f>I254</f>
        <v>8.7698086771359042E-6</v>
      </c>
      <c r="J279" s="39">
        <f t="shared" ref="J279:X279" si="161">J254</f>
        <v>3.2936083688201183E-4</v>
      </c>
      <c r="K279" s="39">
        <f t="shared" si="161"/>
        <v>0</v>
      </c>
      <c r="L279" s="39">
        <f t="shared" si="161"/>
        <v>0</v>
      </c>
      <c r="M279" s="39">
        <f t="shared" si="161"/>
        <v>0</v>
      </c>
      <c r="N279" s="39">
        <f t="shared" si="161"/>
        <v>0</v>
      </c>
      <c r="O279" s="39">
        <f t="shared" si="161"/>
        <v>4.4500161188869743E-3</v>
      </c>
      <c r="P279" s="39">
        <f t="shared" si="161"/>
        <v>2.3701377059487707E-5</v>
      </c>
      <c r="Q279" s="39">
        <f t="shared" si="161"/>
        <v>0</v>
      </c>
      <c r="R279" s="39">
        <f t="shared" si="161"/>
        <v>2.9960160698094792E-3</v>
      </c>
      <c r="S279" s="39">
        <f t="shared" si="161"/>
        <v>1.6046793734272638E-4</v>
      </c>
      <c r="T279" s="39">
        <f t="shared" si="161"/>
        <v>0</v>
      </c>
      <c r="U279" s="39">
        <f t="shared" si="161"/>
        <v>1.5499315085266383E-4</v>
      </c>
      <c r="V279" s="39">
        <f t="shared" si="161"/>
        <v>0</v>
      </c>
      <c r="W279" s="39">
        <f t="shared" si="161"/>
        <v>0</v>
      </c>
      <c r="X279" s="39">
        <f t="shared" si="161"/>
        <v>0</v>
      </c>
    </row>
    <row r="280" spans="2:59" x14ac:dyDescent="0.25">
      <c r="C280" s="31" t="str">
        <f>C256</f>
        <v>Total Provision for Loan Losses</v>
      </c>
      <c r="E280" s="31" t="s">
        <v>292</v>
      </c>
      <c r="I280" s="39">
        <f>I256</f>
        <v>4.7731309473470429E-2</v>
      </c>
      <c r="J280" s="39">
        <f t="shared" ref="J280:X280" si="162">J256</f>
        <v>6.2819725092301262E-3</v>
      </c>
      <c r="K280" s="39">
        <f t="shared" si="162"/>
        <v>0.20389039512664198</v>
      </c>
      <c r="L280" s="39">
        <f t="shared" si="162"/>
        <v>7.7101496070698661E-2</v>
      </c>
      <c r="M280" s="39">
        <f t="shared" si="162"/>
        <v>4.1432698410256763E-2</v>
      </c>
      <c r="N280" s="39">
        <f t="shared" si="162"/>
        <v>3.4513673619307898E-2</v>
      </c>
      <c r="O280" s="39">
        <f t="shared" si="162"/>
        <v>3.7690770066035272E-3</v>
      </c>
      <c r="P280" s="39">
        <f t="shared" si="162"/>
        <v>-2.8511476728202499E-2</v>
      </c>
      <c r="Q280" s="39">
        <f t="shared" si="162"/>
        <v>0.45736303879670004</v>
      </c>
      <c r="R280" s="39">
        <f t="shared" si="162"/>
        <v>-9.4922154712118456E-3</v>
      </c>
      <c r="S280" s="39">
        <f t="shared" si="162"/>
        <v>-9.3932996131358734E-2</v>
      </c>
      <c r="T280" s="39">
        <f t="shared" si="162"/>
        <v>3.2180415808229626E-2</v>
      </c>
      <c r="U280" s="39">
        <f t="shared" si="162"/>
        <v>0.34312189994324149</v>
      </c>
      <c r="V280" s="39">
        <f t="shared" si="162"/>
        <v>9.8981025959567301E-2</v>
      </c>
      <c r="W280" s="39">
        <f t="shared" si="162"/>
        <v>-1.4747436230246097E-2</v>
      </c>
      <c r="X280" s="39">
        <f t="shared" si="162"/>
        <v>5.8456986050775497E-2</v>
      </c>
    </row>
    <row r="281" spans="2:59" x14ac:dyDescent="0.25">
      <c r="C281" s="31" t="str">
        <f>C261</f>
        <v xml:space="preserve">Total personnel expenses </v>
      </c>
      <c r="E281" s="31" t="s">
        <v>292</v>
      </c>
      <c r="I281" s="39">
        <f>I261</f>
        <v>7.0680883330004052E-2</v>
      </c>
      <c r="J281" s="39">
        <f>J261</f>
        <v>7.4796923936860535E-2</v>
      </c>
      <c r="K281" s="39">
        <f t="shared" ref="K281:X281" si="163">K261</f>
        <v>0.22368395807304098</v>
      </c>
      <c r="L281" s="39">
        <f t="shared" si="163"/>
        <v>0.24310008430206223</v>
      </c>
      <c r="M281" s="39">
        <f t="shared" si="163"/>
        <v>0.17482442786729041</v>
      </c>
      <c r="N281" s="39">
        <f t="shared" si="163"/>
        <v>0.2068044291912243</v>
      </c>
      <c r="O281" s="39">
        <f t="shared" si="163"/>
        <v>0.17963390490841979</v>
      </c>
      <c r="P281" s="39">
        <f t="shared" si="163"/>
        <v>0.16969019866841872</v>
      </c>
      <c r="Q281" s="39">
        <f t="shared" si="163"/>
        <v>0.21398052326506797</v>
      </c>
      <c r="R281" s="39">
        <f t="shared" si="163"/>
        <v>0.16737375839322685</v>
      </c>
      <c r="S281" s="39">
        <f t="shared" si="163"/>
        <v>0.32389394064242855</v>
      </c>
      <c r="T281" s="39">
        <f t="shared" si="163"/>
        <v>0.35373790478572553</v>
      </c>
      <c r="U281" s="39">
        <f t="shared" si="163"/>
        <v>0.47264835866903043</v>
      </c>
      <c r="V281" s="39">
        <f t="shared" si="163"/>
        <v>0.42878338714702746</v>
      </c>
      <c r="W281" s="39">
        <f t="shared" si="163"/>
        <v>0.23729041976151724</v>
      </c>
      <c r="X281" s="39">
        <f t="shared" si="163"/>
        <v>0.4823357556471714</v>
      </c>
    </row>
    <row r="282" spans="2:59" x14ac:dyDescent="0.25">
      <c r="C282" s="31" t="str">
        <f>C263</f>
        <v>Total governance Expenses</v>
      </c>
      <c r="E282" s="31" t="s">
        <v>292</v>
      </c>
      <c r="I282" s="39">
        <f>I263</f>
        <v>3.0288103600673171E-2</v>
      </c>
      <c r="J282" s="39">
        <f t="shared" ref="J282:X282" si="164">J263</f>
        <v>4.3318180924074939E-2</v>
      </c>
      <c r="K282" s="39">
        <f t="shared" si="164"/>
        <v>5.4033745309027451E-2</v>
      </c>
      <c r="L282" s="39">
        <f t="shared" si="164"/>
        <v>5.305265341615386E-2</v>
      </c>
      <c r="M282" s="39">
        <f t="shared" si="164"/>
        <v>6.2105202253218389E-2</v>
      </c>
      <c r="N282" s="39">
        <f t="shared" si="164"/>
        <v>4.6358417181277603E-2</v>
      </c>
      <c r="O282" s="39">
        <f t="shared" si="164"/>
        <v>4.4270680038872467E-2</v>
      </c>
      <c r="P282" s="39">
        <f t="shared" si="164"/>
        <v>5.4509090599967495E-2</v>
      </c>
      <c r="Q282" s="39">
        <f t="shared" si="164"/>
        <v>5.0104608197729994E-2</v>
      </c>
      <c r="R282" s="39">
        <f t="shared" si="164"/>
        <v>2.6005691566647709E-2</v>
      </c>
      <c r="S282" s="39">
        <f t="shared" si="164"/>
        <v>5.479402375679672E-2</v>
      </c>
      <c r="T282" s="39">
        <f t="shared" si="164"/>
        <v>2.4832802963233619E-2</v>
      </c>
      <c r="U282" s="39">
        <f t="shared" si="164"/>
        <v>3.4318040985768836E-2</v>
      </c>
      <c r="V282" s="39">
        <f t="shared" si="164"/>
        <v>3.5792807685667165E-2</v>
      </c>
      <c r="W282" s="39">
        <f t="shared" si="164"/>
        <v>3.7706132950785065E-2</v>
      </c>
      <c r="X282" s="39">
        <f t="shared" si="164"/>
        <v>0</v>
      </c>
    </row>
    <row r="283" spans="2:59" x14ac:dyDescent="0.25">
      <c r="C283" s="31" t="str">
        <f>C265</f>
        <v>Total Marketing Expenses</v>
      </c>
      <c r="E283" s="31" t="s">
        <v>292</v>
      </c>
      <c r="I283" s="39">
        <f>I265</f>
        <v>7.5902437673456939E-4</v>
      </c>
      <c r="J283" s="39">
        <f t="shared" ref="J283:X283" si="165">J265</f>
        <v>1.1197127217547371E-3</v>
      </c>
      <c r="K283" s="39">
        <f t="shared" si="165"/>
        <v>4.7461335879344646E-3</v>
      </c>
      <c r="L283" s="39">
        <f t="shared" si="165"/>
        <v>3.3427420307637922E-3</v>
      </c>
      <c r="M283" s="39">
        <f t="shared" si="165"/>
        <v>2.2949901605438366E-4</v>
      </c>
      <c r="N283" s="39">
        <f t="shared" si="165"/>
        <v>2.2949455338483866E-3</v>
      </c>
      <c r="O283" s="39">
        <f t="shared" si="165"/>
        <v>1.882634347785986E-3</v>
      </c>
      <c r="P283" s="39">
        <f t="shared" si="165"/>
        <v>1.8739098749132963E-3</v>
      </c>
      <c r="Q283" s="39">
        <f t="shared" si="165"/>
        <v>3.2716224015742279E-3</v>
      </c>
      <c r="R283" s="39">
        <f t="shared" si="165"/>
        <v>1.5258618662064103E-3</v>
      </c>
      <c r="S283" s="39">
        <f t="shared" si="165"/>
        <v>6.2443690797861825E-3</v>
      </c>
      <c r="T283" s="39">
        <f t="shared" si="165"/>
        <v>9.1922905279175019E-3</v>
      </c>
      <c r="U283" s="39">
        <f t="shared" si="165"/>
        <v>4.5905096453787708E-3</v>
      </c>
      <c r="V283" s="39">
        <f t="shared" si="165"/>
        <v>1.1548901664817752E-2</v>
      </c>
      <c r="W283" s="39">
        <f t="shared" si="165"/>
        <v>2.819919350503684E-3</v>
      </c>
      <c r="X283" s="39">
        <f t="shared" si="165"/>
        <v>3.4357425642642402E-2</v>
      </c>
    </row>
    <row r="284" spans="2:59" x14ac:dyDescent="0.25">
      <c r="C284" s="31" t="str">
        <f>C267</f>
        <v>Total Depreciation and amortization</v>
      </c>
      <c r="E284" s="31" t="s">
        <v>292</v>
      </c>
      <c r="I284" s="39">
        <f>I267</f>
        <v>8.0691984061513795E-4</v>
      </c>
      <c r="J284" s="39">
        <f t="shared" ref="J284:X284" si="166">J267</f>
        <v>6.7994410662146614E-4</v>
      </c>
      <c r="K284" s="39">
        <f t="shared" si="166"/>
        <v>4.1296318714325198E-3</v>
      </c>
      <c r="L284" s="39">
        <f t="shared" si="166"/>
        <v>2.9668129430114776E-3</v>
      </c>
      <c r="M284" s="39">
        <f t="shared" si="166"/>
        <v>2.240457715741761E-3</v>
      </c>
      <c r="N284" s="39">
        <f t="shared" si="166"/>
        <v>4.5255229811219846E-3</v>
      </c>
      <c r="O284" s="39">
        <f t="shared" si="166"/>
        <v>2.378070349011495E-3</v>
      </c>
      <c r="P284" s="39">
        <f t="shared" si="166"/>
        <v>5.7291442655734879E-3</v>
      </c>
      <c r="Q284" s="39">
        <f t="shared" si="166"/>
        <v>4.1450604712118264E-3</v>
      </c>
      <c r="R284" s="39">
        <f t="shared" si="166"/>
        <v>4.2489649202017872E-3</v>
      </c>
      <c r="S284" s="39">
        <f t="shared" si="166"/>
        <v>7.0808483201694802E-3</v>
      </c>
      <c r="T284" s="39">
        <f t="shared" si="166"/>
        <v>5.8138583976922367E-3</v>
      </c>
      <c r="U284" s="39">
        <f t="shared" si="166"/>
        <v>5.4115858620207577E-3</v>
      </c>
      <c r="V284" s="39">
        <f t="shared" si="166"/>
        <v>1.5323467599657867E-2</v>
      </c>
      <c r="W284" s="39">
        <f t="shared" si="166"/>
        <v>6.77098833632699E-3</v>
      </c>
      <c r="X284" s="39">
        <f t="shared" si="166"/>
        <v>2.5192276981537223E-2</v>
      </c>
    </row>
    <row r="285" spans="2:59" x14ac:dyDescent="0.25">
      <c r="C285" s="31" t="str">
        <f>C271</f>
        <v>Total Admin expenses</v>
      </c>
      <c r="E285" s="31" t="s">
        <v>292</v>
      </c>
      <c r="I285" s="39">
        <f>I271</f>
        <v>8.4556578609049679E-2</v>
      </c>
      <c r="J285" s="39">
        <f t="shared" ref="J285:X285" si="167">J271</f>
        <v>9.0693273928386331E-2</v>
      </c>
      <c r="K285" s="39">
        <f t="shared" si="167"/>
        <v>9.5070797310634947E-2</v>
      </c>
      <c r="L285" s="39">
        <f t="shared" si="167"/>
        <v>0.10712919460452427</v>
      </c>
      <c r="M285" s="39">
        <f t="shared" si="167"/>
        <v>9.3311385950588577E-2</v>
      </c>
      <c r="N285" s="39">
        <f t="shared" si="167"/>
        <v>0.16161004696704237</v>
      </c>
      <c r="O285" s="39">
        <f t="shared" si="167"/>
        <v>9.0885598731421144E-2</v>
      </c>
      <c r="P285" s="39">
        <f t="shared" si="167"/>
        <v>0.13604235577784646</v>
      </c>
      <c r="Q285" s="39">
        <f t="shared" si="167"/>
        <v>0.11532917935333065</v>
      </c>
      <c r="R285" s="39">
        <f t="shared" si="167"/>
        <v>0.1837970397705653</v>
      </c>
      <c r="S285" s="39">
        <f t="shared" si="167"/>
        <v>0.30602302775141216</v>
      </c>
      <c r="T285" s="39">
        <f t="shared" si="167"/>
        <v>0.27035441154913442</v>
      </c>
      <c r="U285" s="39">
        <f t="shared" si="167"/>
        <v>0.17483749887571581</v>
      </c>
      <c r="V285" s="39">
        <f t="shared" si="167"/>
        <v>0.18222048452493139</v>
      </c>
      <c r="W285" s="39">
        <f t="shared" si="167"/>
        <v>0.20747238170300006</v>
      </c>
      <c r="X285" s="39">
        <f t="shared" si="167"/>
        <v>0.34198538534978112</v>
      </c>
    </row>
    <row r="286" spans="2:59" x14ac:dyDescent="0.25">
      <c r="C286" s="31"/>
    </row>
    <row r="287" spans="2:59" x14ac:dyDescent="0.25">
      <c r="B287" s="42"/>
      <c r="C287" s="43" t="s">
        <v>293</v>
      </c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</row>
    <row r="289" spans="3:24" x14ac:dyDescent="0.25">
      <c r="C289" s="31" t="str">
        <f>C243</f>
        <v>Interest on savings</v>
      </c>
      <c r="E289" s="31" t="s">
        <v>292</v>
      </c>
      <c r="G289" s="31">
        <f t="shared" ref="G289:X300" si="168">G243</f>
        <v>0</v>
      </c>
      <c r="H289" s="31">
        <f t="shared" si="168"/>
        <v>0</v>
      </c>
      <c r="I289" s="39">
        <f>I243</f>
        <v>0.17256742303274858</v>
      </c>
      <c r="J289" s="39">
        <f t="shared" si="168"/>
        <v>0.1066718220729489</v>
      </c>
      <c r="K289" s="39">
        <f t="shared" si="168"/>
        <v>0.11319940887464625</v>
      </c>
      <c r="L289" s="39">
        <f t="shared" si="168"/>
        <v>0.25026586667395778</v>
      </c>
      <c r="M289" s="39">
        <f t="shared" si="168"/>
        <v>0.22069638642090902</v>
      </c>
      <c r="N289" s="39">
        <f t="shared" si="168"/>
        <v>0.15575932927648947</v>
      </c>
      <c r="O289" s="39">
        <f t="shared" si="168"/>
        <v>0.19469073159928674</v>
      </c>
      <c r="P289" s="39">
        <f t="shared" si="168"/>
        <v>0.35063700295012623</v>
      </c>
      <c r="Q289" s="39">
        <f t="shared" si="168"/>
        <v>0.26386188761594981</v>
      </c>
      <c r="R289" s="39">
        <f t="shared" si="168"/>
        <v>0.17837283600233833</v>
      </c>
      <c r="S289" s="39">
        <f t="shared" si="168"/>
        <v>2.8361464298812481E-2</v>
      </c>
      <c r="T289" s="39">
        <f t="shared" si="168"/>
        <v>0.27988298293599434</v>
      </c>
      <c r="U289" s="39">
        <f t="shared" si="168"/>
        <v>0.15783758515711191</v>
      </c>
      <c r="V289" s="39">
        <f t="shared" si="168"/>
        <v>0.22157853061823898</v>
      </c>
      <c r="W289" s="39">
        <f t="shared" si="168"/>
        <v>9.4922154372767228E-2</v>
      </c>
      <c r="X289" s="39">
        <f t="shared" si="168"/>
        <v>0.13425691716189783</v>
      </c>
    </row>
    <row r="290" spans="3:24" x14ac:dyDescent="0.25">
      <c r="C290" s="31" t="str">
        <f t="shared" ref="C290:R305" si="169">C244</f>
        <v xml:space="preserve">Interest on fixed deposits </v>
      </c>
      <c r="E290" s="31" t="s">
        <v>292</v>
      </c>
      <c r="G290" s="31">
        <f t="shared" si="169"/>
        <v>0</v>
      </c>
      <c r="H290" s="31">
        <f t="shared" si="169"/>
        <v>0</v>
      </c>
      <c r="I290" s="39">
        <f t="shared" si="169"/>
        <v>5.1533190776930681E-3</v>
      </c>
      <c r="J290" s="39">
        <f t="shared" si="169"/>
        <v>1.5085274122687837E-3</v>
      </c>
      <c r="K290" s="39">
        <f t="shared" si="169"/>
        <v>5.5157157573279669E-3</v>
      </c>
      <c r="L290" s="39">
        <f t="shared" si="169"/>
        <v>2.9284954462680188E-3</v>
      </c>
      <c r="M290" s="39">
        <f t="shared" si="169"/>
        <v>4.8425999767604817E-2</v>
      </c>
      <c r="N290" s="39">
        <f t="shared" si="169"/>
        <v>2.348814282931563E-2</v>
      </c>
      <c r="O290" s="39">
        <f t="shared" si="169"/>
        <v>5.2603910210954887E-3</v>
      </c>
      <c r="P290" s="39">
        <f t="shared" si="169"/>
        <v>9.0588559231526769E-3</v>
      </c>
      <c r="Q290" s="39">
        <f t="shared" si="169"/>
        <v>3.1128174273217135E-3</v>
      </c>
      <c r="R290" s="39">
        <f t="shared" si="169"/>
        <v>0</v>
      </c>
      <c r="S290" s="39">
        <f t="shared" si="168"/>
        <v>0</v>
      </c>
      <c r="T290" s="39">
        <f t="shared" si="168"/>
        <v>1.643748618258031E-2</v>
      </c>
      <c r="U290" s="39">
        <f t="shared" si="168"/>
        <v>0</v>
      </c>
      <c r="V290" s="39">
        <f t="shared" si="168"/>
        <v>2.9104245096735655E-3</v>
      </c>
      <c r="W290" s="39">
        <f t="shared" si="168"/>
        <v>0</v>
      </c>
      <c r="X290" s="39">
        <f t="shared" si="168"/>
        <v>1.138181995507274E-4</v>
      </c>
    </row>
    <row r="291" spans="3:24" x14ac:dyDescent="0.25">
      <c r="C291" s="31" t="str">
        <f t="shared" si="169"/>
        <v>Interest on Diaspora jijenge savings</v>
      </c>
      <c r="E291" s="31" t="s">
        <v>292</v>
      </c>
      <c r="G291" s="31">
        <f t="shared" si="168"/>
        <v>0</v>
      </c>
      <c r="H291" s="31">
        <f t="shared" si="168"/>
        <v>0</v>
      </c>
      <c r="I291" s="31">
        <f t="shared" si="168"/>
        <v>1.2212163724635187E-2</v>
      </c>
      <c r="J291" s="31">
        <f t="shared" si="168"/>
        <v>2.9475854798990307E-5</v>
      </c>
      <c r="K291" s="31">
        <f t="shared" si="168"/>
        <v>0</v>
      </c>
      <c r="L291" s="31">
        <f t="shared" si="168"/>
        <v>0</v>
      </c>
      <c r="M291" s="31">
        <f t="shared" si="168"/>
        <v>2.0939421610460299E-3</v>
      </c>
      <c r="N291" s="31">
        <f t="shared" si="168"/>
        <v>0</v>
      </c>
      <c r="O291" s="31">
        <f t="shared" si="168"/>
        <v>0</v>
      </c>
      <c r="P291" s="31">
        <f t="shared" si="168"/>
        <v>0</v>
      </c>
      <c r="Q291" s="31">
        <f t="shared" si="168"/>
        <v>0</v>
      </c>
      <c r="R291" s="31">
        <f t="shared" si="168"/>
        <v>0</v>
      </c>
      <c r="S291" s="31">
        <f t="shared" si="168"/>
        <v>0</v>
      </c>
      <c r="T291" s="31">
        <f t="shared" si="168"/>
        <v>0</v>
      </c>
      <c r="U291" s="31">
        <f t="shared" si="168"/>
        <v>0</v>
      </c>
      <c r="V291" s="31">
        <f t="shared" si="168"/>
        <v>0</v>
      </c>
      <c r="W291" s="31">
        <f t="shared" si="168"/>
        <v>0</v>
      </c>
      <c r="X291" s="31">
        <f t="shared" si="168"/>
        <v>0</v>
      </c>
    </row>
    <row r="292" spans="3:24" x14ac:dyDescent="0.25">
      <c r="C292" s="31" t="str">
        <f t="shared" si="169"/>
        <v>Total interest expense on deposits</v>
      </c>
      <c r="E292" s="31" t="s">
        <v>292</v>
      </c>
      <c r="G292" s="31">
        <f t="shared" si="168"/>
        <v>0</v>
      </c>
      <c r="H292" s="31">
        <f t="shared" si="168"/>
        <v>0</v>
      </c>
      <c r="I292" s="39">
        <f t="shared" si="168"/>
        <v>0.18993290583507683</v>
      </c>
      <c r="J292" s="39">
        <f t="shared" si="168"/>
        <v>0.10820982534001668</v>
      </c>
      <c r="K292" s="39">
        <f t="shared" si="168"/>
        <v>0.11871512463197421</v>
      </c>
      <c r="L292" s="39">
        <f t="shared" si="168"/>
        <v>0.25319436212022578</v>
      </c>
      <c r="M292" s="39">
        <f t="shared" si="168"/>
        <v>0.27121632834955989</v>
      </c>
      <c r="N292" s="39">
        <f t="shared" si="168"/>
        <v>0.17924747210580511</v>
      </c>
      <c r="O292" s="39">
        <f t="shared" si="168"/>
        <v>0.19995112262038223</v>
      </c>
      <c r="P292" s="39">
        <f t="shared" si="168"/>
        <v>0.35969585887327887</v>
      </c>
      <c r="Q292" s="39">
        <f t="shared" si="168"/>
        <v>0.26697470504327153</v>
      </c>
      <c r="R292" s="39">
        <f t="shared" si="168"/>
        <v>0.17837283600233833</v>
      </c>
      <c r="S292" s="39">
        <f t="shared" si="168"/>
        <v>2.8361464298812481E-2</v>
      </c>
      <c r="T292" s="39">
        <f t="shared" si="168"/>
        <v>0.29632046911857463</v>
      </c>
      <c r="U292" s="39">
        <f t="shared" si="168"/>
        <v>0.15783758515711191</v>
      </c>
      <c r="V292" s="39">
        <f t="shared" si="168"/>
        <v>0.22448895512791253</v>
      </c>
      <c r="W292" s="39">
        <f t="shared" si="168"/>
        <v>9.4922154372767228E-2</v>
      </c>
      <c r="X292" s="39">
        <f t="shared" si="168"/>
        <v>0.13437073536144856</v>
      </c>
    </row>
    <row r="293" spans="3:24" x14ac:dyDescent="0.25">
      <c r="C293" s="31">
        <f t="shared" si="169"/>
        <v>0</v>
      </c>
    </row>
    <row r="294" spans="3:24" x14ac:dyDescent="0.25">
      <c r="C294" s="31" t="str">
        <f t="shared" si="169"/>
        <v>Mobile deposit charges paybill</v>
      </c>
      <c r="E294" s="31" t="s">
        <v>292</v>
      </c>
      <c r="G294" s="31">
        <f t="shared" si="168"/>
        <v>0</v>
      </c>
      <c r="H294" s="31">
        <f t="shared" si="168"/>
        <v>0</v>
      </c>
      <c r="I294" s="39">
        <f t="shared" si="168"/>
        <v>5.1478571793064313E-3</v>
      </c>
      <c r="J294" s="39">
        <f t="shared" si="168"/>
        <v>3.5560836203660912E-3</v>
      </c>
      <c r="K294" s="39">
        <f t="shared" si="168"/>
        <v>5.6116936837753446E-3</v>
      </c>
      <c r="L294" s="39">
        <f t="shared" si="168"/>
        <v>1.3551793869214799E-2</v>
      </c>
      <c r="M294" s="39">
        <f t="shared" si="168"/>
        <v>7.4977125095465683E-3</v>
      </c>
      <c r="N294" s="39">
        <f t="shared" si="168"/>
        <v>1.4647198594135069E-2</v>
      </c>
      <c r="O294" s="39">
        <f t="shared" si="168"/>
        <v>1.073077249961152E-2</v>
      </c>
      <c r="P294" s="39">
        <f t="shared" si="168"/>
        <v>1.87152867656472E-2</v>
      </c>
      <c r="Q294" s="39">
        <f t="shared" si="168"/>
        <v>1.566479429753681E-2</v>
      </c>
      <c r="R294" s="39">
        <f t="shared" si="168"/>
        <v>1.4174887935684829E-2</v>
      </c>
      <c r="S294" s="39">
        <f t="shared" si="168"/>
        <v>1.6667804651788989E-2</v>
      </c>
      <c r="T294" s="39">
        <f t="shared" si="168"/>
        <v>2.1444857883770454E-2</v>
      </c>
      <c r="U294" s="39">
        <f t="shared" si="168"/>
        <v>3.5604639130996804E-2</v>
      </c>
      <c r="V294" s="39">
        <f t="shared" si="168"/>
        <v>2.6339643460296606E-2</v>
      </c>
      <c r="W294" s="39">
        <f t="shared" si="168"/>
        <v>1.4342321849141734E-2</v>
      </c>
      <c r="X294" s="39">
        <f t="shared" si="168"/>
        <v>3.3249760120927715E-2</v>
      </c>
    </row>
    <row r="295" spans="3:24" x14ac:dyDescent="0.25">
      <c r="C295" s="31" t="str">
        <f t="shared" si="169"/>
        <v>loss impairement of financial assets</v>
      </c>
      <c r="E295" s="31" t="s">
        <v>292</v>
      </c>
      <c r="G295" s="31">
        <f t="shared" si="168"/>
        <v>0</v>
      </c>
      <c r="H295" s="31">
        <f t="shared" si="168"/>
        <v>0</v>
      </c>
      <c r="I295" s="39">
        <f t="shared" si="168"/>
        <v>0</v>
      </c>
      <c r="J295" s="39">
        <f t="shared" si="168"/>
        <v>3.3299047090852962E-2</v>
      </c>
      <c r="K295" s="39">
        <f t="shared" si="168"/>
        <v>0.31712769723783657</v>
      </c>
      <c r="L295" s="39">
        <f t="shared" si="168"/>
        <v>0</v>
      </c>
      <c r="M295" s="39">
        <f t="shared" si="168"/>
        <v>0</v>
      </c>
      <c r="N295" s="39">
        <f t="shared" si="168"/>
        <v>0</v>
      </c>
      <c r="O295" s="39">
        <f t="shared" si="168"/>
        <v>0</v>
      </c>
      <c r="P295" s="39">
        <f t="shared" si="168"/>
        <v>0</v>
      </c>
      <c r="Q295" s="39">
        <f t="shared" si="168"/>
        <v>0</v>
      </c>
      <c r="R295" s="39">
        <f t="shared" si="168"/>
        <v>0</v>
      </c>
      <c r="S295" s="39">
        <f t="shared" si="168"/>
        <v>0</v>
      </c>
      <c r="T295" s="39">
        <f t="shared" si="168"/>
        <v>0</v>
      </c>
      <c r="U295" s="39">
        <f t="shared" si="168"/>
        <v>0</v>
      </c>
      <c r="V295" s="39">
        <f t="shared" si="168"/>
        <v>0</v>
      </c>
      <c r="W295" s="39">
        <f t="shared" si="168"/>
        <v>0</v>
      </c>
      <c r="X295" s="39">
        <f t="shared" si="168"/>
        <v>0</v>
      </c>
    </row>
    <row r="296" spans="3:24" x14ac:dyDescent="0.25">
      <c r="C296" s="31" t="str">
        <f t="shared" si="169"/>
        <v>Appraisal fee</v>
      </c>
      <c r="E296" s="31" t="s">
        <v>292</v>
      </c>
      <c r="G296" s="31">
        <f t="shared" si="168"/>
        <v>0</v>
      </c>
      <c r="H296" s="31">
        <f t="shared" si="168"/>
        <v>0</v>
      </c>
      <c r="I296" s="39">
        <f t="shared" si="168"/>
        <v>1.6759581336513715E-2</v>
      </c>
      <c r="J296" s="39">
        <f t="shared" si="168"/>
        <v>6.5857833446702997E-3</v>
      </c>
      <c r="K296" s="39">
        <f t="shared" si="168"/>
        <v>3.4716051977003669E-3</v>
      </c>
      <c r="L296" s="39">
        <f t="shared" si="168"/>
        <v>4.1014409591802831E-2</v>
      </c>
      <c r="M296" s="39">
        <f t="shared" si="168"/>
        <v>1.246054795030292E-2</v>
      </c>
      <c r="N296" s="39">
        <f t="shared" si="168"/>
        <v>3.5148539564000589E-2</v>
      </c>
      <c r="O296" s="39">
        <f t="shared" si="168"/>
        <v>4.2391629433408559E-2</v>
      </c>
      <c r="P296" s="39">
        <f t="shared" si="168"/>
        <v>3.237402694391505E-2</v>
      </c>
      <c r="Q296" s="39">
        <f t="shared" si="168"/>
        <v>2.5607768037539412E-2</v>
      </c>
      <c r="R296" s="39">
        <f t="shared" si="168"/>
        <v>3.4067244716658444E-2</v>
      </c>
      <c r="S296" s="39">
        <f t="shared" si="168"/>
        <v>1.7343856071813896E-2</v>
      </c>
      <c r="T296" s="39">
        <f t="shared" si="168"/>
        <v>2.5771747742399126E-2</v>
      </c>
      <c r="U296" s="39">
        <f t="shared" si="168"/>
        <v>4.0450267502679056E-2</v>
      </c>
      <c r="V296" s="39">
        <f t="shared" si="168"/>
        <v>0.12140035999277633</v>
      </c>
      <c r="W296" s="39">
        <f t="shared" si="168"/>
        <v>1.9100916394241534E-2</v>
      </c>
      <c r="X296" s="39">
        <f t="shared" si="168"/>
        <v>4.9364107822537223E-2</v>
      </c>
    </row>
    <row r="297" spans="3:24" x14ac:dyDescent="0.25">
      <c r="C297" s="31" t="str">
        <f t="shared" si="169"/>
        <v>Other Expenses</v>
      </c>
      <c r="E297" s="31" t="s">
        <v>292</v>
      </c>
      <c r="G297" s="31">
        <f t="shared" si="168"/>
        <v>0</v>
      </c>
      <c r="H297" s="31">
        <f t="shared" si="168"/>
        <v>0</v>
      </c>
      <c r="I297" s="39">
        <f t="shared" si="168"/>
        <v>-1.3729109841340827E-5</v>
      </c>
      <c r="J297" s="39">
        <f t="shared" si="168"/>
        <v>6.6829436503140522E-4</v>
      </c>
      <c r="K297" s="39">
        <f t="shared" si="168"/>
        <v>6.1515409687786231E-4</v>
      </c>
      <c r="L297" s="39">
        <f t="shared" si="168"/>
        <v>1.6864695725523507E-3</v>
      </c>
      <c r="M297" s="39">
        <f t="shared" si="168"/>
        <v>2.2152379559730174E-3</v>
      </c>
      <c r="N297" s="39">
        <f t="shared" si="168"/>
        <v>1.3184055839075567E-5</v>
      </c>
      <c r="O297" s="39">
        <f t="shared" si="168"/>
        <v>1.29170050285519E-3</v>
      </c>
      <c r="P297" s="39">
        <f t="shared" si="168"/>
        <v>3.6436916999452434E-5</v>
      </c>
      <c r="Q297" s="39">
        <f t="shared" si="168"/>
        <v>2.2350091681862716E-4</v>
      </c>
      <c r="R297" s="39">
        <f t="shared" si="168"/>
        <v>2.2172568131999666E-4</v>
      </c>
      <c r="S297" s="39">
        <f t="shared" si="168"/>
        <v>6.4396585595322808E-3</v>
      </c>
      <c r="T297" s="39">
        <f t="shared" si="168"/>
        <v>2.2475037965568464E-4</v>
      </c>
      <c r="U297" s="39">
        <f t="shared" si="168"/>
        <v>-1.3653346658611155E-3</v>
      </c>
      <c r="V297" s="39">
        <f t="shared" si="168"/>
        <v>1.7051036021107404E-4</v>
      </c>
      <c r="W297" s="39">
        <f t="shared" si="168"/>
        <v>2.399092602355723E-4</v>
      </c>
      <c r="X297" s="39">
        <f t="shared" si="168"/>
        <v>8.8930778018530307E-4</v>
      </c>
    </row>
    <row r="298" spans="3:24" x14ac:dyDescent="0.25">
      <c r="C298" s="31" t="str">
        <f t="shared" si="169"/>
        <v xml:space="preserve">Total fees and commission expenses </v>
      </c>
      <c r="E298" s="31" t="s">
        <v>292</v>
      </c>
      <c r="G298" s="31">
        <f t="shared" si="168"/>
        <v>0</v>
      </c>
      <c r="H298" s="31">
        <f t="shared" si="168"/>
        <v>0</v>
      </c>
      <c r="I298" s="39">
        <f t="shared" si="168"/>
        <v>2.1893709405978803E-2</v>
      </c>
      <c r="J298" s="39">
        <f t="shared" si="168"/>
        <v>4.410920842092076E-2</v>
      </c>
      <c r="K298" s="39">
        <f t="shared" si="168"/>
        <v>0.32682615021619016</v>
      </c>
      <c r="L298" s="39">
        <f t="shared" si="168"/>
        <v>5.6252673033569983E-2</v>
      </c>
      <c r="M298" s="39">
        <f t="shared" si="168"/>
        <v>2.2173498415822505E-2</v>
      </c>
      <c r="N298" s="39">
        <f t="shared" si="168"/>
        <v>4.9808922213974732E-2</v>
      </c>
      <c r="O298" s="39">
        <f t="shared" si="168"/>
        <v>5.4414102435875272E-2</v>
      </c>
      <c r="P298" s="39">
        <f t="shared" si="168"/>
        <v>5.1125750626561703E-2</v>
      </c>
      <c r="Q298" s="39">
        <f t="shared" si="168"/>
        <v>4.1496063251894852E-2</v>
      </c>
      <c r="R298" s="39">
        <f t="shared" si="168"/>
        <v>4.8463858333663269E-2</v>
      </c>
      <c r="S298" s="39">
        <f t="shared" si="168"/>
        <v>4.0451319283135168E-2</v>
      </c>
      <c r="T298" s="39">
        <f t="shared" si="168"/>
        <v>4.7441356005825261E-2</v>
      </c>
      <c r="U298" s="39">
        <f t="shared" si="168"/>
        <v>7.4689571967814741E-2</v>
      </c>
      <c r="V298" s="39">
        <f t="shared" si="168"/>
        <v>0.14791051381328402</v>
      </c>
      <c r="W298" s="39">
        <f t="shared" si="168"/>
        <v>3.3683147503618845E-2</v>
      </c>
      <c r="X298" s="39">
        <f t="shared" si="168"/>
        <v>8.3503175723650236E-2</v>
      </c>
    </row>
    <row r="299" spans="3:24" x14ac:dyDescent="0.25">
      <c r="C299" s="31">
        <f t="shared" si="169"/>
        <v>0</v>
      </c>
    </row>
    <row r="300" spans="3:24" x14ac:dyDescent="0.25">
      <c r="C300" s="31" t="str">
        <f t="shared" si="169"/>
        <v>Other Expenses</v>
      </c>
      <c r="E300" s="31" t="s">
        <v>292</v>
      </c>
      <c r="G300" s="31">
        <f t="shared" si="168"/>
        <v>0</v>
      </c>
      <c r="H300" s="31">
        <f t="shared" si="168"/>
        <v>0</v>
      </c>
      <c r="I300" s="31">
        <f t="shared" si="168"/>
        <v>8.7698086771359042E-6</v>
      </c>
      <c r="J300" s="31">
        <f t="shared" si="168"/>
        <v>3.2936083688201183E-4</v>
      </c>
      <c r="K300" s="31">
        <f t="shared" si="168"/>
        <v>0</v>
      </c>
      <c r="L300" s="31">
        <f t="shared" si="168"/>
        <v>0</v>
      </c>
      <c r="M300" s="31">
        <f t="shared" si="168"/>
        <v>0</v>
      </c>
      <c r="N300" s="31">
        <f t="shared" si="168"/>
        <v>0</v>
      </c>
      <c r="O300" s="31">
        <f t="shared" si="168"/>
        <v>4.4500161188869743E-3</v>
      </c>
      <c r="P300" s="31">
        <f t="shared" si="168"/>
        <v>2.3701377059487707E-5</v>
      </c>
      <c r="Q300" s="31">
        <f t="shared" si="168"/>
        <v>0</v>
      </c>
      <c r="R300" s="31">
        <f t="shared" si="168"/>
        <v>2.9960160698094792E-3</v>
      </c>
      <c r="S300" s="31">
        <f t="shared" si="168"/>
        <v>1.6046793734272638E-4</v>
      </c>
      <c r="T300" s="31">
        <f t="shared" si="168"/>
        <v>0</v>
      </c>
      <c r="U300" s="31">
        <f t="shared" si="168"/>
        <v>1.5499315085266383E-4</v>
      </c>
      <c r="V300" s="31">
        <f t="shared" si="168"/>
        <v>0</v>
      </c>
      <c r="W300" s="31">
        <f t="shared" si="168"/>
        <v>0</v>
      </c>
      <c r="X300" s="31">
        <f t="shared" si="168"/>
        <v>0</v>
      </c>
    </row>
    <row r="301" spans="3:24" x14ac:dyDescent="0.25">
      <c r="C301" s="31">
        <f t="shared" si="169"/>
        <v>0</v>
      </c>
    </row>
    <row r="302" spans="3:24" x14ac:dyDescent="0.25">
      <c r="C302" s="31" t="str">
        <f t="shared" si="169"/>
        <v>Total Provision for Loan Losses</v>
      </c>
      <c r="E302" s="31" t="s">
        <v>292</v>
      </c>
      <c r="G302" s="31">
        <f t="shared" ref="G302:X317" si="170">G256</f>
        <v>0</v>
      </c>
      <c r="H302" s="31">
        <f t="shared" si="170"/>
        <v>0</v>
      </c>
      <c r="I302" s="39">
        <f t="shared" si="170"/>
        <v>4.7731309473470429E-2</v>
      </c>
      <c r="J302" s="39">
        <f t="shared" si="170"/>
        <v>6.2819725092301262E-3</v>
      </c>
      <c r="K302" s="39">
        <f t="shared" si="170"/>
        <v>0.20389039512664198</v>
      </c>
      <c r="L302" s="39">
        <f t="shared" si="170"/>
        <v>7.7101496070698661E-2</v>
      </c>
      <c r="M302" s="39">
        <f t="shared" si="170"/>
        <v>4.1432698410256763E-2</v>
      </c>
      <c r="N302" s="39">
        <f t="shared" si="170"/>
        <v>3.4513673619307898E-2</v>
      </c>
      <c r="O302" s="39">
        <f t="shared" si="170"/>
        <v>3.7690770066035272E-3</v>
      </c>
      <c r="P302" s="39">
        <f t="shared" si="170"/>
        <v>-2.8511476728202499E-2</v>
      </c>
      <c r="Q302" s="39">
        <f t="shared" si="170"/>
        <v>0.45736303879670004</v>
      </c>
      <c r="R302" s="39">
        <f t="shared" si="170"/>
        <v>-9.4922154712118456E-3</v>
      </c>
      <c r="S302" s="39">
        <f t="shared" si="170"/>
        <v>-9.3932996131358734E-2</v>
      </c>
      <c r="T302" s="39">
        <f t="shared" si="170"/>
        <v>3.2180415808229626E-2</v>
      </c>
      <c r="U302" s="39">
        <f t="shared" si="170"/>
        <v>0.34312189994324149</v>
      </c>
      <c r="V302" s="39">
        <f t="shared" si="170"/>
        <v>9.8981025959567301E-2</v>
      </c>
      <c r="W302" s="39">
        <f t="shared" si="170"/>
        <v>-1.4747436230246097E-2</v>
      </c>
      <c r="X302" s="39">
        <f t="shared" si="170"/>
        <v>5.8456986050775497E-2</v>
      </c>
    </row>
    <row r="303" spans="3:24" x14ac:dyDescent="0.25">
      <c r="C303" s="31">
        <f t="shared" si="169"/>
        <v>0</v>
      </c>
      <c r="G303" s="31">
        <f t="shared" si="170"/>
        <v>0</v>
      </c>
      <c r="H303" s="31">
        <f t="shared" si="170"/>
        <v>0</v>
      </c>
      <c r="I303" s="31">
        <f t="shared" si="170"/>
        <v>0</v>
      </c>
      <c r="J303" s="31">
        <f t="shared" si="170"/>
        <v>0</v>
      </c>
      <c r="K303" s="31">
        <f t="shared" si="170"/>
        <v>0</v>
      </c>
      <c r="L303" s="31">
        <f t="shared" si="170"/>
        <v>0</v>
      </c>
      <c r="M303" s="31">
        <f t="shared" si="170"/>
        <v>0</v>
      </c>
      <c r="N303" s="31">
        <f t="shared" si="170"/>
        <v>0</v>
      </c>
      <c r="O303" s="31">
        <f t="shared" si="170"/>
        <v>0</v>
      </c>
      <c r="P303" s="31">
        <f t="shared" si="170"/>
        <v>0</v>
      </c>
      <c r="Q303" s="31">
        <f t="shared" si="170"/>
        <v>0</v>
      </c>
      <c r="R303" s="31">
        <f t="shared" si="170"/>
        <v>0</v>
      </c>
      <c r="S303" s="31">
        <f t="shared" si="170"/>
        <v>0</v>
      </c>
      <c r="T303" s="31">
        <f t="shared" si="170"/>
        <v>0</v>
      </c>
      <c r="U303" s="31">
        <f t="shared" si="170"/>
        <v>0</v>
      </c>
      <c r="V303" s="31">
        <f t="shared" si="170"/>
        <v>0</v>
      </c>
      <c r="W303" s="31">
        <f t="shared" si="170"/>
        <v>0</v>
      </c>
      <c r="X303" s="31">
        <f t="shared" si="170"/>
        <v>0</v>
      </c>
    </row>
    <row r="304" spans="3:24" x14ac:dyDescent="0.25">
      <c r="C304" s="31" t="str">
        <f t="shared" si="169"/>
        <v>Staff salaries</v>
      </c>
      <c r="E304" s="31" t="s">
        <v>292</v>
      </c>
      <c r="G304" s="31">
        <f t="shared" si="170"/>
        <v>0</v>
      </c>
      <c r="H304" s="31">
        <f t="shared" si="170"/>
        <v>0</v>
      </c>
      <c r="I304" s="39">
        <f t="shared" si="170"/>
        <v>3.7499727546148554E-2</v>
      </c>
      <c r="J304" s="39">
        <f t="shared" si="170"/>
        <v>4.3181049953320463E-2</v>
      </c>
      <c r="K304" s="39">
        <f t="shared" si="170"/>
        <v>0.12884310281424091</v>
      </c>
      <c r="L304" s="39">
        <f t="shared" si="170"/>
        <v>0.1379080795556184</v>
      </c>
      <c r="M304" s="39">
        <f t="shared" si="170"/>
        <v>0.10457566066754989</v>
      </c>
      <c r="N304" s="39">
        <f t="shared" si="170"/>
        <v>0.1201665751799226</v>
      </c>
      <c r="O304" s="39">
        <f t="shared" si="170"/>
        <v>9.7467535856113882E-2</v>
      </c>
      <c r="P304" s="39">
        <f t="shared" si="170"/>
        <v>0.11353692774091652</v>
      </c>
      <c r="Q304" s="39">
        <f t="shared" si="170"/>
        <v>0.12581649171555601</v>
      </c>
      <c r="R304" s="39">
        <f t="shared" si="170"/>
        <v>8.5243859575533723E-2</v>
      </c>
      <c r="S304" s="39">
        <f t="shared" si="170"/>
        <v>0.1586743470900624</v>
      </c>
      <c r="T304" s="39">
        <f t="shared" si="170"/>
        <v>0.18603395577691367</v>
      </c>
      <c r="U304" s="39">
        <f t="shared" si="170"/>
        <v>0.2603948481516602</v>
      </c>
      <c r="V304" s="39">
        <f t="shared" si="170"/>
        <v>0.24368684994413564</v>
      </c>
      <c r="W304" s="39">
        <f t="shared" si="170"/>
        <v>0.11081811394884532</v>
      </c>
      <c r="X304" s="39">
        <f t="shared" si="170"/>
        <v>0.24816037726609302</v>
      </c>
    </row>
    <row r="305" spans="3:24" x14ac:dyDescent="0.25">
      <c r="C305" s="31" t="str">
        <f t="shared" si="169"/>
        <v>House alowance</v>
      </c>
      <c r="E305" s="31" t="s">
        <v>292</v>
      </c>
      <c r="G305" s="31">
        <f t="shared" si="170"/>
        <v>0</v>
      </c>
      <c r="H305" s="31">
        <f t="shared" si="170"/>
        <v>0</v>
      </c>
      <c r="I305" s="39">
        <f t="shared" si="170"/>
        <v>8.733196008044633E-3</v>
      </c>
      <c r="J305" s="39">
        <f t="shared" si="170"/>
        <v>1.0188265073783013E-2</v>
      </c>
      <c r="K305" s="39">
        <f t="shared" si="170"/>
        <v>3.0740414198885815E-2</v>
      </c>
      <c r="L305" s="39">
        <f t="shared" si="170"/>
        <v>3.2260726596825905E-2</v>
      </c>
      <c r="M305" s="39">
        <f t="shared" si="170"/>
        <v>2.5110152347135463E-2</v>
      </c>
      <c r="N305" s="39">
        <f t="shared" si="170"/>
        <v>2.8609056239100518E-2</v>
      </c>
      <c r="O305" s="39">
        <f t="shared" si="170"/>
        <v>2.3969612559933295E-2</v>
      </c>
      <c r="P305" s="39">
        <f t="shared" si="170"/>
        <v>2.7275355109041978E-2</v>
      </c>
      <c r="Q305" s="39">
        <f t="shared" si="170"/>
        <v>2.8591065044743669E-2</v>
      </c>
      <c r="R305" s="39">
        <f t="shared" si="170"/>
        <v>1.9305173334707895E-2</v>
      </c>
      <c r="S305" s="39">
        <f t="shared" si="170"/>
        <v>3.4470077503606721E-2</v>
      </c>
      <c r="T305" s="39">
        <f t="shared" si="170"/>
        <v>4.1141947778025399E-2</v>
      </c>
      <c r="U305" s="39">
        <f t="shared" si="170"/>
        <v>5.6562812989294005E-2</v>
      </c>
      <c r="V305" s="39">
        <f t="shared" si="170"/>
        <v>5.8805673359145383E-2</v>
      </c>
      <c r="W305" s="39">
        <f t="shared" si="170"/>
        <v>2.4472800104591425E-2</v>
      </c>
      <c r="X305" s="39">
        <f t="shared" si="170"/>
        <v>5.5528023143858678E-2</v>
      </c>
    </row>
    <row r="306" spans="3:24" x14ac:dyDescent="0.25">
      <c r="C306" s="31" t="str">
        <f t="shared" ref="C306:C320" si="171">C260</f>
        <v>Other personnel expenses</v>
      </c>
      <c r="E306" s="31" t="s">
        <v>292</v>
      </c>
      <c r="G306" s="31">
        <f t="shared" si="170"/>
        <v>0</v>
      </c>
      <c r="H306" s="31">
        <f t="shared" si="170"/>
        <v>0</v>
      </c>
      <c r="I306" s="39">
        <f t="shared" si="170"/>
        <v>2.4447959775810869E-2</v>
      </c>
      <c r="J306" s="39">
        <f t="shared" si="170"/>
        <v>2.1427608909757062E-2</v>
      </c>
      <c r="K306" s="39">
        <f t="shared" si="170"/>
        <v>6.4100441059914248E-2</v>
      </c>
      <c r="L306" s="39">
        <f t="shared" si="170"/>
        <v>7.2931278149617917E-2</v>
      </c>
      <c r="M306" s="39">
        <f t="shared" si="170"/>
        <v>4.5138614852605063E-2</v>
      </c>
      <c r="N306" s="39">
        <f t="shared" si="170"/>
        <v>5.8028797772201171E-2</v>
      </c>
      <c r="O306" s="39">
        <f t="shared" si="170"/>
        <v>5.8196756492372624E-2</v>
      </c>
      <c r="P306" s="39">
        <f t="shared" si="170"/>
        <v>2.887791581846022E-2</v>
      </c>
      <c r="Q306" s="39">
        <f t="shared" si="170"/>
        <v>5.9572966504768281E-2</v>
      </c>
      <c r="R306" s="39">
        <f t="shared" si="170"/>
        <v>6.2824725482985219E-2</v>
      </c>
      <c r="S306" s="39">
        <f t="shared" si="170"/>
        <v>0.13074951604875948</v>
      </c>
      <c r="T306" s="39">
        <f t="shared" si="170"/>
        <v>0.12656200123078648</v>
      </c>
      <c r="U306" s="39">
        <f t="shared" si="170"/>
        <v>0.15569069752807624</v>
      </c>
      <c r="V306" s="39">
        <f t="shared" si="170"/>
        <v>0.12629086384374646</v>
      </c>
      <c r="W306" s="39">
        <f t="shared" si="170"/>
        <v>0.1019995057080805</v>
      </c>
      <c r="X306" s="39">
        <f t="shared" si="170"/>
        <v>0.1786473552372197</v>
      </c>
    </row>
    <row r="307" spans="3:24" x14ac:dyDescent="0.25">
      <c r="C307" s="31" t="str">
        <f t="shared" si="171"/>
        <v xml:space="preserve">Total personnel expenses </v>
      </c>
      <c r="E307" s="31" t="s">
        <v>292</v>
      </c>
      <c r="G307" s="31">
        <f t="shared" si="170"/>
        <v>0</v>
      </c>
      <c r="H307" s="31">
        <f t="shared" si="170"/>
        <v>0</v>
      </c>
      <c r="I307" s="39">
        <f t="shared" si="170"/>
        <v>7.0680883330004052E-2</v>
      </c>
      <c r="J307" s="39">
        <f t="shared" si="170"/>
        <v>7.4796923936860535E-2</v>
      </c>
      <c r="K307" s="39">
        <f t="shared" si="170"/>
        <v>0.22368395807304098</v>
      </c>
      <c r="L307" s="39">
        <f t="shared" si="170"/>
        <v>0.24310008430206223</v>
      </c>
      <c r="M307" s="39">
        <f t="shared" si="170"/>
        <v>0.17482442786729041</v>
      </c>
      <c r="N307" s="39">
        <f t="shared" si="170"/>
        <v>0.2068044291912243</v>
      </c>
      <c r="O307" s="39">
        <f t="shared" si="170"/>
        <v>0.17963390490841979</v>
      </c>
      <c r="P307" s="39">
        <f t="shared" si="170"/>
        <v>0.16969019866841872</v>
      </c>
      <c r="Q307" s="39">
        <f t="shared" si="170"/>
        <v>0.21398052326506797</v>
      </c>
      <c r="R307" s="39">
        <f t="shared" si="170"/>
        <v>0.16737375839322685</v>
      </c>
      <c r="S307" s="39">
        <f t="shared" si="170"/>
        <v>0.32389394064242855</v>
      </c>
      <c r="T307" s="39">
        <f t="shared" si="170"/>
        <v>0.35373790478572553</v>
      </c>
      <c r="U307" s="39">
        <f t="shared" si="170"/>
        <v>0.47264835866903043</v>
      </c>
      <c r="V307" s="39">
        <f t="shared" si="170"/>
        <v>0.42878338714702746</v>
      </c>
      <c r="W307" s="39">
        <f t="shared" si="170"/>
        <v>0.23729041976151724</v>
      </c>
      <c r="X307" s="39">
        <f t="shared" si="170"/>
        <v>0.4823357556471714</v>
      </c>
    </row>
    <row r="308" spans="3:24" x14ac:dyDescent="0.25">
      <c r="C308" s="31">
        <f t="shared" si="171"/>
        <v>0</v>
      </c>
    </row>
    <row r="309" spans="3:24" x14ac:dyDescent="0.25">
      <c r="C309" s="31" t="str">
        <f t="shared" si="171"/>
        <v>Total governance Expenses</v>
      </c>
      <c r="E309" s="31" t="s">
        <v>292</v>
      </c>
      <c r="G309" s="31">
        <f t="shared" si="170"/>
        <v>0</v>
      </c>
      <c r="H309" s="31">
        <f t="shared" si="170"/>
        <v>0</v>
      </c>
      <c r="I309" s="39">
        <f t="shared" si="170"/>
        <v>3.0288103600673171E-2</v>
      </c>
      <c r="J309" s="39">
        <f t="shared" si="170"/>
        <v>4.3318180924074939E-2</v>
      </c>
      <c r="K309" s="39">
        <f t="shared" si="170"/>
        <v>5.4033745309027451E-2</v>
      </c>
      <c r="L309" s="39">
        <f t="shared" si="170"/>
        <v>5.305265341615386E-2</v>
      </c>
      <c r="M309" s="39">
        <f t="shared" si="170"/>
        <v>6.2105202253218389E-2</v>
      </c>
      <c r="N309" s="39">
        <f t="shared" si="170"/>
        <v>4.6358417181277603E-2</v>
      </c>
      <c r="O309" s="39">
        <f t="shared" si="170"/>
        <v>4.4270680038872467E-2</v>
      </c>
      <c r="P309" s="39">
        <f t="shared" si="170"/>
        <v>5.4509090599967495E-2</v>
      </c>
      <c r="Q309" s="39">
        <f t="shared" si="170"/>
        <v>5.0104608197729994E-2</v>
      </c>
      <c r="R309" s="39">
        <f t="shared" si="170"/>
        <v>2.6005691566647709E-2</v>
      </c>
      <c r="S309" s="39">
        <f t="shared" si="170"/>
        <v>5.479402375679672E-2</v>
      </c>
      <c r="T309" s="39">
        <f t="shared" si="170"/>
        <v>2.4832802963233619E-2</v>
      </c>
      <c r="U309" s="39">
        <f t="shared" si="170"/>
        <v>3.4318040985768836E-2</v>
      </c>
      <c r="V309" s="39">
        <f t="shared" si="170"/>
        <v>3.5792807685667165E-2</v>
      </c>
      <c r="W309" s="39">
        <f t="shared" si="170"/>
        <v>3.7706132950785065E-2</v>
      </c>
      <c r="X309" s="39">
        <f t="shared" si="170"/>
        <v>0</v>
      </c>
    </row>
    <row r="310" spans="3:24" x14ac:dyDescent="0.25">
      <c r="C310" s="31">
        <f t="shared" si="171"/>
        <v>0</v>
      </c>
    </row>
    <row r="311" spans="3:24" x14ac:dyDescent="0.25">
      <c r="C311" s="31" t="str">
        <f t="shared" si="171"/>
        <v>Total Marketing Expenses</v>
      </c>
      <c r="E311" s="31" t="s">
        <v>292</v>
      </c>
      <c r="G311" s="31">
        <f t="shared" si="170"/>
        <v>0</v>
      </c>
      <c r="H311" s="31">
        <f t="shared" si="170"/>
        <v>0</v>
      </c>
      <c r="I311" s="39">
        <f t="shared" si="170"/>
        <v>7.5902437673456939E-4</v>
      </c>
      <c r="J311" s="39">
        <f t="shared" si="170"/>
        <v>1.1197127217547371E-3</v>
      </c>
      <c r="K311" s="39">
        <f t="shared" si="170"/>
        <v>4.7461335879344646E-3</v>
      </c>
      <c r="L311" s="39">
        <f t="shared" si="170"/>
        <v>3.3427420307637922E-3</v>
      </c>
      <c r="M311" s="39">
        <f t="shared" si="170"/>
        <v>2.2949901605438366E-4</v>
      </c>
      <c r="N311" s="39">
        <f t="shared" si="170"/>
        <v>2.2949455338483866E-3</v>
      </c>
      <c r="O311" s="39">
        <f t="shared" si="170"/>
        <v>1.882634347785986E-3</v>
      </c>
      <c r="P311" s="39">
        <f t="shared" si="170"/>
        <v>1.8739098749132963E-3</v>
      </c>
      <c r="Q311" s="39">
        <f t="shared" si="170"/>
        <v>3.2716224015742279E-3</v>
      </c>
      <c r="R311" s="39">
        <f t="shared" si="170"/>
        <v>1.5258618662064103E-3</v>
      </c>
      <c r="S311" s="39">
        <f t="shared" si="170"/>
        <v>6.2443690797861825E-3</v>
      </c>
      <c r="T311" s="39">
        <f t="shared" si="170"/>
        <v>9.1922905279175019E-3</v>
      </c>
      <c r="U311" s="39">
        <f t="shared" si="170"/>
        <v>4.5905096453787708E-3</v>
      </c>
      <c r="V311" s="39">
        <f t="shared" si="170"/>
        <v>1.1548901664817752E-2</v>
      </c>
      <c r="W311" s="39">
        <f t="shared" si="170"/>
        <v>2.819919350503684E-3</v>
      </c>
      <c r="X311" s="39">
        <f t="shared" si="170"/>
        <v>3.4357425642642402E-2</v>
      </c>
    </row>
    <row r="312" spans="3:24" x14ac:dyDescent="0.25">
      <c r="C312" s="31">
        <f t="shared" si="171"/>
        <v>0</v>
      </c>
    </row>
    <row r="313" spans="3:24" x14ac:dyDescent="0.25">
      <c r="C313" s="31" t="str">
        <f t="shared" si="171"/>
        <v>Total Depreciation and amortization</v>
      </c>
      <c r="E313" s="31" t="s">
        <v>292</v>
      </c>
      <c r="G313" s="31">
        <f t="shared" si="170"/>
        <v>0</v>
      </c>
      <c r="H313" s="31">
        <f t="shared" si="170"/>
        <v>0</v>
      </c>
      <c r="I313" s="39">
        <f t="shared" si="170"/>
        <v>8.0691984061513795E-4</v>
      </c>
      <c r="J313" s="39">
        <f t="shared" si="170"/>
        <v>6.7994410662146614E-4</v>
      </c>
      <c r="K313" s="39">
        <f t="shared" si="170"/>
        <v>4.1296318714325198E-3</v>
      </c>
      <c r="L313" s="39">
        <f t="shared" si="170"/>
        <v>2.9668129430114776E-3</v>
      </c>
      <c r="M313" s="39">
        <f t="shared" si="170"/>
        <v>2.240457715741761E-3</v>
      </c>
      <c r="N313" s="39">
        <f t="shared" si="170"/>
        <v>4.5255229811219846E-3</v>
      </c>
      <c r="O313" s="39">
        <f t="shared" si="170"/>
        <v>2.378070349011495E-3</v>
      </c>
      <c r="P313" s="39">
        <f t="shared" si="170"/>
        <v>5.7291442655734879E-3</v>
      </c>
      <c r="Q313" s="39">
        <f t="shared" si="170"/>
        <v>4.1450604712118264E-3</v>
      </c>
      <c r="R313" s="39">
        <f t="shared" si="170"/>
        <v>4.2489649202017872E-3</v>
      </c>
      <c r="S313" s="39">
        <f t="shared" si="170"/>
        <v>7.0808483201694802E-3</v>
      </c>
      <c r="T313" s="39">
        <f t="shared" si="170"/>
        <v>5.8138583976922367E-3</v>
      </c>
      <c r="U313" s="39">
        <f t="shared" si="170"/>
        <v>5.4115858620207577E-3</v>
      </c>
      <c r="V313" s="39">
        <f t="shared" si="170"/>
        <v>1.5323467599657867E-2</v>
      </c>
      <c r="W313" s="39">
        <f t="shared" si="170"/>
        <v>6.77098833632699E-3</v>
      </c>
      <c r="X313" s="39">
        <f t="shared" si="170"/>
        <v>2.5192276981537223E-2</v>
      </c>
    </row>
    <row r="314" spans="3:24" x14ac:dyDescent="0.25">
      <c r="C314" s="31">
        <f t="shared" si="171"/>
        <v>0</v>
      </c>
      <c r="G314" s="31">
        <f t="shared" si="170"/>
        <v>0</v>
      </c>
      <c r="H314" s="31">
        <f t="shared" si="170"/>
        <v>0</v>
      </c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</row>
    <row r="315" spans="3:24" x14ac:dyDescent="0.25">
      <c r="C315" s="31" t="str">
        <f t="shared" si="171"/>
        <v>Security</v>
      </c>
      <c r="E315" s="31" t="s">
        <v>292</v>
      </c>
      <c r="G315" s="31">
        <f t="shared" si="170"/>
        <v>0</v>
      </c>
      <c r="H315" s="31">
        <f t="shared" si="170"/>
        <v>0</v>
      </c>
      <c r="I315" s="39">
        <f t="shared" si="170"/>
        <v>8.7563975369658979E-3</v>
      </c>
      <c r="J315" s="39">
        <f t="shared" si="170"/>
        <v>8.0759368502384583E-3</v>
      </c>
      <c r="K315" s="39">
        <f t="shared" si="170"/>
        <v>4.1749438682165053E-2</v>
      </c>
      <c r="L315" s="39">
        <f t="shared" si="170"/>
        <v>3.3961402376834142E-2</v>
      </c>
      <c r="M315" s="39">
        <f t="shared" si="170"/>
        <v>1.6159746569897254E-2</v>
      </c>
      <c r="N315" s="39">
        <f t="shared" si="170"/>
        <v>3.503202930309713E-2</v>
      </c>
      <c r="O315" s="39">
        <f t="shared" si="170"/>
        <v>1.6319127406839707E-2</v>
      </c>
      <c r="P315" s="39">
        <f t="shared" si="170"/>
        <v>2.8676169696929859E-2</v>
      </c>
      <c r="Q315" s="39">
        <f t="shared" si="170"/>
        <v>3.9183933092570171E-2</v>
      </c>
      <c r="R315" s="39">
        <f t="shared" si="170"/>
        <v>2.6210297402144474E-2</v>
      </c>
      <c r="S315" s="39">
        <f t="shared" si="170"/>
        <v>6.6029667793659735E-2</v>
      </c>
      <c r="T315" s="39">
        <f t="shared" si="170"/>
        <v>7.7576765884316529E-2</v>
      </c>
      <c r="U315" s="39">
        <f t="shared" si="170"/>
        <v>0.1029387786353721</v>
      </c>
      <c r="V315" s="39">
        <f t="shared" si="170"/>
        <v>0.11935812533860952</v>
      </c>
      <c r="W315" s="39">
        <f t="shared" si="170"/>
        <v>4.6090173161829749E-2</v>
      </c>
      <c r="X315" s="39">
        <f t="shared" si="170"/>
        <v>0.12805062930433059</v>
      </c>
    </row>
    <row r="316" spans="3:24" x14ac:dyDescent="0.25">
      <c r="C316" s="31" t="str">
        <f t="shared" si="171"/>
        <v>Other Admin Expenses</v>
      </c>
      <c r="E316" s="31" t="s">
        <v>292</v>
      </c>
      <c r="G316" s="31">
        <f t="shared" si="170"/>
        <v>0</v>
      </c>
      <c r="H316" s="31">
        <f t="shared" si="170"/>
        <v>0</v>
      </c>
      <c r="I316" s="39">
        <f t="shared" si="170"/>
        <v>2.468977058231786E-2</v>
      </c>
      <c r="J316" s="39">
        <f t="shared" si="170"/>
        <v>1.973577610032962E-2</v>
      </c>
      <c r="K316" s="39">
        <f t="shared" si="170"/>
        <v>5.658826109102371E-2</v>
      </c>
      <c r="L316" s="39">
        <f t="shared" si="170"/>
        <v>4.8708088207841241E-2</v>
      </c>
      <c r="M316" s="39">
        <f t="shared" si="170"/>
        <v>4.293602267936962E-2</v>
      </c>
      <c r="N316" s="39">
        <f t="shared" si="170"/>
        <v>6.5889369483069074E-2</v>
      </c>
      <c r="O316" s="39">
        <f t="shared" si="170"/>
        <v>3.2741883916073695E-2</v>
      </c>
      <c r="P316" s="39">
        <f t="shared" si="170"/>
        <v>6.8028261269191051E-2</v>
      </c>
      <c r="Q316" s="39">
        <f t="shared" si="170"/>
        <v>9.6047232151192791E-2</v>
      </c>
      <c r="R316" s="39">
        <f t="shared" si="170"/>
        <v>6.8253826095400705E-2</v>
      </c>
      <c r="S316" s="39">
        <f t="shared" si="170"/>
        <v>9.5829887618687104E-2</v>
      </c>
      <c r="T316" s="39">
        <f t="shared" si="170"/>
        <v>0.20755191316535432</v>
      </c>
      <c r="U316" s="39">
        <f t="shared" si="170"/>
        <v>0.12860060713917051</v>
      </c>
      <c r="V316" s="39">
        <f t="shared" si="170"/>
        <v>9.5182804490582432E-2</v>
      </c>
      <c r="W316" s="39">
        <f t="shared" si="170"/>
        <v>5.8217107574552014E-2</v>
      </c>
      <c r="X316" s="39">
        <f t="shared" si="170"/>
        <v>0.29719529893721225</v>
      </c>
    </row>
    <row r="317" spans="3:24" x14ac:dyDescent="0.25">
      <c r="C317" s="31" t="str">
        <f t="shared" si="171"/>
        <v>Total Admin expenses</v>
      </c>
      <c r="E317" s="31" t="s">
        <v>292</v>
      </c>
      <c r="G317" s="31">
        <f t="shared" si="170"/>
        <v>0</v>
      </c>
      <c r="H317" s="31">
        <f t="shared" si="170"/>
        <v>0</v>
      </c>
      <c r="I317" s="39">
        <f t="shared" si="170"/>
        <v>8.4556578609049679E-2</v>
      </c>
      <c r="J317" s="39">
        <f t="shared" si="170"/>
        <v>9.0693273928386331E-2</v>
      </c>
      <c r="K317" s="39">
        <f t="shared" si="170"/>
        <v>9.5070797310634947E-2</v>
      </c>
      <c r="L317" s="39">
        <f t="shared" si="170"/>
        <v>0.10712919460452427</v>
      </c>
      <c r="M317" s="39">
        <f t="shared" si="170"/>
        <v>9.3311385950588577E-2</v>
      </c>
      <c r="N317" s="39">
        <f t="shared" si="170"/>
        <v>0.16161004696704237</v>
      </c>
      <c r="O317" s="39">
        <f t="shared" si="170"/>
        <v>9.0885598731421144E-2</v>
      </c>
      <c r="P317" s="39">
        <f t="shared" si="170"/>
        <v>0.13604235577784646</v>
      </c>
      <c r="Q317" s="39">
        <f t="shared" si="170"/>
        <v>0.11532917935333065</v>
      </c>
      <c r="R317" s="39">
        <f t="shared" si="170"/>
        <v>0.1837970397705653</v>
      </c>
      <c r="S317" s="39">
        <f t="shared" si="170"/>
        <v>0.30602302775141216</v>
      </c>
      <c r="T317" s="39">
        <f t="shared" si="170"/>
        <v>0.27035441154913442</v>
      </c>
      <c r="U317" s="39">
        <f t="shared" si="170"/>
        <v>0.17483749887571581</v>
      </c>
      <c r="V317" s="39">
        <f t="shared" si="170"/>
        <v>0.18222048452493139</v>
      </c>
      <c r="W317" s="39">
        <f t="shared" si="170"/>
        <v>0.20747238170300006</v>
      </c>
      <c r="X317" s="39">
        <f t="shared" si="170"/>
        <v>0.34198538534978112</v>
      </c>
    </row>
    <row r="318" spans="3:24" x14ac:dyDescent="0.25">
      <c r="C318" s="31">
        <f t="shared" si="171"/>
        <v>0</v>
      </c>
    </row>
    <row r="319" spans="3:24" x14ac:dyDescent="0.25">
      <c r="C319" s="31" t="str">
        <f t="shared" si="171"/>
        <v>Total Expenses</v>
      </c>
      <c r="E319" s="31" t="s">
        <v>292</v>
      </c>
      <c r="G319" s="31">
        <f t="shared" ref="G319:X324" si="172">G273</f>
        <v>0</v>
      </c>
      <c r="H319" s="31">
        <f t="shared" si="172"/>
        <v>0</v>
      </c>
      <c r="I319" s="39">
        <f t="shared" si="172"/>
        <v>1</v>
      </c>
      <c r="J319" s="39">
        <f t="shared" si="172"/>
        <v>1</v>
      </c>
      <c r="K319" s="39">
        <f t="shared" si="172"/>
        <v>1</v>
      </c>
      <c r="L319" s="39">
        <f t="shared" si="172"/>
        <v>1</v>
      </c>
      <c r="M319" s="39">
        <f t="shared" si="172"/>
        <v>1</v>
      </c>
      <c r="N319" s="39">
        <f t="shared" si="172"/>
        <v>1</v>
      </c>
      <c r="O319" s="39">
        <f t="shared" si="172"/>
        <v>1</v>
      </c>
      <c r="P319" s="39">
        <f t="shared" si="172"/>
        <v>1</v>
      </c>
      <c r="Q319" s="39">
        <f t="shared" si="172"/>
        <v>1</v>
      </c>
      <c r="R319" s="39">
        <f t="shared" si="172"/>
        <v>1</v>
      </c>
      <c r="S319" s="39">
        <f t="shared" si="172"/>
        <v>1</v>
      </c>
      <c r="T319" s="39">
        <f t="shared" si="172"/>
        <v>1</v>
      </c>
      <c r="U319" s="39">
        <f t="shared" si="172"/>
        <v>1</v>
      </c>
      <c r="V319" s="39">
        <f t="shared" si="172"/>
        <v>1</v>
      </c>
      <c r="W319" s="39">
        <f t="shared" si="172"/>
        <v>1</v>
      </c>
      <c r="X319" s="39">
        <f t="shared" si="172"/>
        <v>1</v>
      </c>
    </row>
    <row r="320" spans="3:24" x14ac:dyDescent="0.25">
      <c r="C320" s="31">
        <f t="shared" si="171"/>
        <v>0</v>
      </c>
      <c r="G320" s="31">
        <f t="shared" si="172"/>
        <v>0</v>
      </c>
      <c r="H320" s="31">
        <f t="shared" si="172"/>
        <v>0</v>
      </c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</row>
    <row r="321" spans="2:59" x14ac:dyDescent="0.25">
      <c r="B321" s="42"/>
      <c r="C321" s="43" t="s">
        <v>296</v>
      </c>
      <c r="D321" s="42"/>
      <c r="E321" s="42"/>
      <c r="F321" s="42"/>
      <c r="G321" s="43">
        <f t="shared" si="172"/>
        <v>0</v>
      </c>
      <c r="H321" s="43">
        <f t="shared" si="172"/>
        <v>0</v>
      </c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</row>
    <row r="322" spans="2:59" x14ac:dyDescent="0.25">
      <c r="C322" s="31">
        <f t="shared" ref="C322:C330" si="173">C276</f>
        <v>0</v>
      </c>
      <c r="G322" s="31">
        <f t="shared" si="172"/>
        <v>0</v>
      </c>
      <c r="H322" s="31">
        <f t="shared" si="172"/>
        <v>0</v>
      </c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</row>
    <row r="323" spans="2:59" x14ac:dyDescent="0.25">
      <c r="C323" s="31" t="str">
        <f t="shared" si="173"/>
        <v>Total interest expense on deposits</v>
      </c>
      <c r="E323" s="31" t="s">
        <v>292</v>
      </c>
      <c r="G323" s="31">
        <f t="shared" si="172"/>
        <v>0</v>
      </c>
      <c r="H323" s="31">
        <f t="shared" si="172"/>
        <v>0</v>
      </c>
      <c r="I323" s="39">
        <f t="shared" si="172"/>
        <v>0.18993290583507683</v>
      </c>
      <c r="J323" s="39">
        <f t="shared" si="172"/>
        <v>0.10820982534001668</v>
      </c>
      <c r="K323" s="39">
        <f t="shared" si="172"/>
        <v>0.11871512463197421</v>
      </c>
      <c r="L323" s="39">
        <f t="shared" si="172"/>
        <v>0.25319436212022578</v>
      </c>
      <c r="M323" s="39">
        <f t="shared" si="172"/>
        <v>0.27121632834955989</v>
      </c>
      <c r="N323" s="39">
        <f t="shared" si="172"/>
        <v>0.17924747210580511</v>
      </c>
      <c r="O323" s="39">
        <f t="shared" si="172"/>
        <v>0.19995112262038223</v>
      </c>
      <c r="P323" s="39">
        <f t="shared" si="172"/>
        <v>0.35969585887327887</v>
      </c>
      <c r="Q323" s="39">
        <f t="shared" si="172"/>
        <v>0.26697470504327153</v>
      </c>
      <c r="R323" s="39">
        <f t="shared" si="172"/>
        <v>0.17837283600233833</v>
      </c>
      <c r="S323" s="39">
        <f t="shared" si="172"/>
        <v>2.8361464298812481E-2</v>
      </c>
      <c r="T323" s="39">
        <f t="shared" si="172"/>
        <v>0.29632046911857463</v>
      </c>
      <c r="U323" s="39">
        <f t="shared" si="172"/>
        <v>0.15783758515711191</v>
      </c>
      <c r="V323" s="39">
        <f t="shared" si="172"/>
        <v>0.22448895512791253</v>
      </c>
      <c r="W323" s="39">
        <f t="shared" si="172"/>
        <v>9.4922154372767228E-2</v>
      </c>
      <c r="X323" s="39">
        <f t="shared" si="172"/>
        <v>0.13437073536144856</v>
      </c>
    </row>
    <row r="324" spans="2:59" x14ac:dyDescent="0.25">
      <c r="C324" s="31" t="str">
        <f t="shared" si="173"/>
        <v xml:space="preserve">Total fees and commission expenses </v>
      </c>
      <c r="E324" s="31" t="s">
        <v>292</v>
      </c>
      <c r="G324" s="31">
        <f t="shared" si="172"/>
        <v>0</v>
      </c>
      <c r="H324" s="31">
        <f t="shared" si="172"/>
        <v>0</v>
      </c>
      <c r="I324" s="39">
        <f t="shared" si="172"/>
        <v>2.1893709405978803E-2</v>
      </c>
      <c r="J324" s="39">
        <f t="shared" si="172"/>
        <v>4.410920842092076E-2</v>
      </c>
      <c r="K324" s="39">
        <f t="shared" si="172"/>
        <v>0.32682615021619016</v>
      </c>
      <c r="L324" s="39">
        <f t="shared" si="172"/>
        <v>5.6252673033569983E-2</v>
      </c>
      <c r="M324" s="39">
        <f t="shared" si="172"/>
        <v>2.2173498415822505E-2</v>
      </c>
      <c r="N324" s="39">
        <f t="shared" si="172"/>
        <v>4.9808922213974732E-2</v>
      </c>
      <c r="O324" s="39">
        <f t="shared" si="172"/>
        <v>5.4414102435875272E-2</v>
      </c>
      <c r="P324" s="39">
        <f t="shared" si="172"/>
        <v>5.1125750626561703E-2</v>
      </c>
      <c r="Q324" s="39">
        <f t="shared" si="172"/>
        <v>4.1496063251894852E-2</v>
      </c>
      <c r="R324" s="39">
        <f t="shared" si="172"/>
        <v>4.8463858333663269E-2</v>
      </c>
      <c r="S324" s="39">
        <f t="shared" si="172"/>
        <v>4.0451319283135168E-2</v>
      </c>
      <c r="T324" s="39">
        <f t="shared" si="172"/>
        <v>4.7441356005825261E-2</v>
      </c>
      <c r="U324" s="39">
        <f t="shared" si="172"/>
        <v>7.4689571967814741E-2</v>
      </c>
      <c r="V324" s="39">
        <f t="shared" si="172"/>
        <v>0.14791051381328402</v>
      </c>
      <c r="W324" s="39">
        <f t="shared" si="172"/>
        <v>3.3683147503618845E-2</v>
      </c>
      <c r="X324" s="39">
        <f t="shared" si="172"/>
        <v>8.3503175723650236E-2</v>
      </c>
    </row>
    <row r="325" spans="2:59" x14ac:dyDescent="0.25">
      <c r="C325" s="31" t="str">
        <f t="shared" si="173"/>
        <v>Other Expenses</v>
      </c>
      <c r="E325" s="31" t="s">
        <v>292</v>
      </c>
      <c r="I325" s="31">
        <v>0</v>
      </c>
      <c r="J325" s="31">
        <v>0</v>
      </c>
      <c r="K325" s="31">
        <v>0</v>
      </c>
      <c r="L325" s="31">
        <v>0</v>
      </c>
      <c r="M325" s="31">
        <v>0</v>
      </c>
      <c r="N325" s="31">
        <v>0</v>
      </c>
      <c r="O325" s="31">
        <v>0</v>
      </c>
      <c r="P325" s="31">
        <v>0</v>
      </c>
      <c r="Q325" s="31">
        <v>0</v>
      </c>
      <c r="R325" s="31">
        <v>0</v>
      </c>
      <c r="S325" s="31">
        <v>0</v>
      </c>
      <c r="T325" s="31">
        <v>0</v>
      </c>
      <c r="U325" s="31">
        <v>0</v>
      </c>
      <c r="V325" s="31">
        <v>0</v>
      </c>
      <c r="W325" s="31">
        <v>0</v>
      </c>
      <c r="X325" s="31">
        <v>0</v>
      </c>
    </row>
    <row r="326" spans="2:59" x14ac:dyDescent="0.25">
      <c r="C326" s="31" t="str">
        <f t="shared" si="173"/>
        <v>Total Provision for Loan Losses</v>
      </c>
      <c r="E326" s="31" t="s">
        <v>292</v>
      </c>
      <c r="G326" s="31">
        <f t="shared" ref="G326:X331" si="174">G280</f>
        <v>0</v>
      </c>
      <c r="H326" s="31">
        <f t="shared" si="174"/>
        <v>0</v>
      </c>
      <c r="I326" s="39">
        <f t="shared" si="174"/>
        <v>4.7731309473470429E-2</v>
      </c>
      <c r="J326" s="39">
        <f t="shared" si="174"/>
        <v>6.2819725092301262E-3</v>
      </c>
      <c r="K326" s="39">
        <f t="shared" si="174"/>
        <v>0.20389039512664198</v>
      </c>
      <c r="L326" s="39">
        <f t="shared" si="174"/>
        <v>7.7101496070698661E-2</v>
      </c>
      <c r="M326" s="39">
        <f t="shared" si="174"/>
        <v>4.1432698410256763E-2</v>
      </c>
      <c r="N326" s="39">
        <f t="shared" si="174"/>
        <v>3.4513673619307898E-2</v>
      </c>
      <c r="O326" s="39">
        <f t="shared" si="174"/>
        <v>3.7690770066035272E-3</v>
      </c>
      <c r="P326" s="39">
        <f t="shared" si="174"/>
        <v>-2.8511476728202499E-2</v>
      </c>
      <c r="Q326" s="39">
        <f t="shared" si="174"/>
        <v>0.45736303879670004</v>
      </c>
      <c r="R326" s="39">
        <f t="shared" si="174"/>
        <v>-9.4922154712118456E-3</v>
      </c>
      <c r="S326" s="39">
        <f t="shared" si="174"/>
        <v>-9.3932996131358734E-2</v>
      </c>
      <c r="T326" s="39">
        <f t="shared" si="174"/>
        <v>3.2180415808229626E-2</v>
      </c>
      <c r="U326" s="39">
        <f t="shared" si="174"/>
        <v>0.34312189994324149</v>
      </c>
      <c r="V326" s="39">
        <f t="shared" si="174"/>
        <v>9.8981025959567301E-2</v>
      </c>
      <c r="W326" s="39">
        <f t="shared" si="174"/>
        <v>-1.4747436230246097E-2</v>
      </c>
      <c r="X326" s="39">
        <f t="shared" si="174"/>
        <v>5.8456986050775497E-2</v>
      </c>
    </row>
    <row r="327" spans="2:59" x14ac:dyDescent="0.25">
      <c r="C327" s="31" t="str">
        <f t="shared" si="173"/>
        <v xml:space="preserve">Total personnel expenses </v>
      </c>
      <c r="E327" s="31" t="s">
        <v>292</v>
      </c>
      <c r="G327" s="31">
        <f t="shared" si="174"/>
        <v>0</v>
      </c>
      <c r="H327" s="31">
        <f t="shared" si="174"/>
        <v>0</v>
      </c>
      <c r="I327" s="39">
        <f t="shared" si="174"/>
        <v>7.0680883330004052E-2</v>
      </c>
      <c r="J327" s="39">
        <f t="shared" si="174"/>
        <v>7.4796923936860535E-2</v>
      </c>
      <c r="K327" s="39">
        <f t="shared" si="174"/>
        <v>0.22368395807304098</v>
      </c>
      <c r="L327" s="39">
        <f t="shared" si="174"/>
        <v>0.24310008430206223</v>
      </c>
      <c r="M327" s="39">
        <f t="shared" si="174"/>
        <v>0.17482442786729041</v>
      </c>
      <c r="N327" s="39">
        <f t="shared" si="174"/>
        <v>0.2068044291912243</v>
      </c>
      <c r="O327" s="39">
        <f t="shared" si="174"/>
        <v>0.17963390490841979</v>
      </c>
      <c r="P327" s="39">
        <f t="shared" si="174"/>
        <v>0.16969019866841872</v>
      </c>
      <c r="Q327" s="39">
        <f t="shared" si="174"/>
        <v>0.21398052326506797</v>
      </c>
      <c r="R327" s="39">
        <f t="shared" si="174"/>
        <v>0.16737375839322685</v>
      </c>
      <c r="S327" s="39">
        <f t="shared" si="174"/>
        <v>0.32389394064242855</v>
      </c>
      <c r="T327" s="39">
        <f t="shared" si="174"/>
        <v>0.35373790478572553</v>
      </c>
      <c r="U327" s="39">
        <f t="shared" si="174"/>
        <v>0.47264835866903043</v>
      </c>
      <c r="V327" s="39">
        <f t="shared" si="174"/>
        <v>0.42878338714702746</v>
      </c>
      <c r="W327" s="39">
        <f t="shared" si="174"/>
        <v>0.23729041976151724</v>
      </c>
      <c r="X327" s="39">
        <f t="shared" si="174"/>
        <v>0.4823357556471714</v>
      </c>
    </row>
    <row r="328" spans="2:59" x14ac:dyDescent="0.25">
      <c r="C328" s="31" t="str">
        <f t="shared" si="173"/>
        <v>Total governance Expenses</v>
      </c>
      <c r="E328" s="31" t="s">
        <v>292</v>
      </c>
      <c r="G328" s="31">
        <f t="shared" si="174"/>
        <v>0</v>
      </c>
      <c r="H328" s="31">
        <f t="shared" si="174"/>
        <v>0</v>
      </c>
      <c r="I328" s="39">
        <f t="shared" si="174"/>
        <v>3.0288103600673171E-2</v>
      </c>
      <c r="J328" s="39">
        <f t="shared" si="174"/>
        <v>4.3318180924074939E-2</v>
      </c>
      <c r="K328" s="39">
        <f t="shared" si="174"/>
        <v>5.4033745309027451E-2</v>
      </c>
      <c r="L328" s="39">
        <f t="shared" si="174"/>
        <v>5.305265341615386E-2</v>
      </c>
      <c r="M328" s="39">
        <f t="shared" si="174"/>
        <v>6.2105202253218389E-2</v>
      </c>
      <c r="N328" s="39">
        <f t="shared" si="174"/>
        <v>4.6358417181277603E-2</v>
      </c>
      <c r="O328" s="39">
        <f t="shared" si="174"/>
        <v>4.4270680038872467E-2</v>
      </c>
      <c r="P328" s="39">
        <f t="shared" si="174"/>
        <v>5.4509090599967495E-2</v>
      </c>
      <c r="Q328" s="39">
        <f t="shared" si="174"/>
        <v>5.0104608197729994E-2</v>
      </c>
      <c r="R328" s="39">
        <f t="shared" si="174"/>
        <v>2.6005691566647709E-2</v>
      </c>
      <c r="S328" s="39">
        <f t="shared" si="174"/>
        <v>5.479402375679672E-2</v>
      </c>
      <c r="T328" s="39">
        <f t="shared" si="174"/>
        <v>2.4832802963233619E-2</v>
      </c>
      <c r="U328" s="39">
        <f t="shared" si="174"/>
        <v>3.4318040985768836E-2</v>
      </c>
      <c r="V328" s="39">
        <f t="shared" si="174"/>
        <v>3.5792807685667165E-2</v>
      </c>
      <c r="W328" s="39">
        <f t="shared" si="174"/>
        <v>3.7706132950785065E-2</v>
      </c>
      <c r="X328" s="39">
        <f t="shared" si="174"/>
        <v>0</v>
      </c>
    </row>
    <row r="329" spans="2:59" x14ac:dyDescent="0.25">
      <c r="C329" s="31" t="str">
        <f t="shared" si="173"/>
        <v>Total Marketing Expenses</v>
      </c>
      <c r="E329" s="31" t="s">
        <v>292</v>
      </c>
      <c r="G329" s="31">
        <f t="shared" si="174"/>
        <v>0</v>
      </c>
      <c r="H329" s="31">
        <f t="shared" si="174"/>
        <v>0</v>
      </c>
      <c r="I329" s="39">
        <f t="shared" si="174"/>
        <v>7.5902437673456939E-4</v>
      </c>
      <c r="J329" s="39">
        <f t="shared" si="174"/>
        <v>1.1197127217547371E-3</v>
      </c>
      <c r="K329" s="39">
        <f t="shared" si="174"/>
        <v>4.7461335879344646E-3</v>
      </c>
      <c r="L329" s="39">
        <f t="shared" si="174"/>
        <v>3.3427420307637922E-3</v>
      </c>
      <c r="M329" s="39">
        <f t="shared" si="174"/>
        <v>2.2949901605438366E-4</v>
      </c>
      <c r="N329" s="39">
        <f t="shared" si="174"/>
        <v>2.2949455338483866E-3</v>
      </c>
      <c r="O329" s="39">
        <f t="shared" si="174"/>
        <v>1.882634347785986E-3</v>
      </c>
      <c r="P329" s="39">
        <f t="shared" si="174"/>
        <v>1.8739098749132963E-3</v>
      </c>
      <c r="Q329" s="39">
        <f t="shared" si="174"/>
        <v>3.2716224015742279E-3</v>
      </c>
      <c r="R329" s="39">
        <f t="shared" si="174"/>
        <v>1.5258618662064103E-3</v>
      </c>
      <c r="S329" s="39">
        <f t="shared" si="174"/>
        <v>6.2443690797861825E-3</v>
      </c>
      <c r="T329" s="39">
        <f t="shared" si="174"/>
        <v>9.1922905279175019E-3</v>
      </c>
      <c r="U329" s="39">
        <f t="shared" si="174"/>
        <v>4.5905096453787708E-3</v>
      </c>
      <c r="V329" s="39">
        <f t="shared" si="174"/>
        <v>1.1548901664817752E-2</v>
      </c>
      <c r="W329" s="39">
        <f t="shared" si="174"/>
        <v>2.819919350503684E-3</v>
      </c>
      <c r="X329" s="39">
        <f t="shared" si="174"/>
        <v>3.4357425642642402E-2</v>
      </c>
    </row>
    <row r="330" spans="2:59" x14ac:dyDescent="0.25">
      <c r="C330" s="31" t="str">
        <f t="shared" si="173"/>
        <v>Total Depreciation and amortization</v>
      </c>
      <c r="E330" s="31" t="s">
        <v>292</v>
      </c>
      <c r="G330" s="31">
        <f t="shared" si="174"/>
        <v>0</v>
      </c>
      <c r="H330" s="31">
        <f t="shared" si="174"/>
        <v>0</v>
      </c>
      <c r="I330" s="39">
        <f t="shared" si="174"/>
        <v>8.0691984061513795E-4</v>
      </c>
      <c r="J330" s="39">
        <f t="shared" si="174"/>
        <v>6.7994410662146614E-4</v>
      </c>
      <c r="K330" s="39">
        <f t="shared" si="174"/>
        <v>4.1296318714325198E-3</v>
      </c>
      <c r="L330" s="39">
        <f t="shared" si="174"/>
        <v>2.9668129430114776E-3</v>
      </c>
      <c r="M330" s="39">
        <f t="shared" si="174"/>
        <v>2.240457715741761E-3</v>
      </c>
      <c r="N330" s="39">
        <f t="shared" si="174"/>
        <v>4.5255229811219846E-3</v>
      </c>
      <c r="O330" s="39">
        <f t="shared" si="174"/>
        <v>2.378070349011495E-3</v>
      </c>
      <c r="P330" s="39">
        <f t="shared" si="174"/>
        <v>5.7291442655734879E-3</v>
      </c>
      <c r="Q330" s="39">
        <f t="shared" si="174"/>
        <v>4.1450604712118264E-3</v>
      </c>
      <c r="R330" s="39">
        <f t="shared" si="174"/>
        <v>4.2489649202017872E-3</v>
      </c>
      <c r="S330" s="39">
        <f t="shared" si="174"/>
        <v>7.0808483201694802E-3</v>
      </c>
      <c r="T330" s="39">
        <f t="shared" si="174"/>
        <v>5.8138583976922367E-3</v>
      </c>
      <c r="U330" s="39">
        <f t="shared" si="174"/>
        <v>5.4115858620207577E-3</v>
      </c>
      <c r="V330" s="39">
        <f t="shared" si="174"/>
        <v>1.5323467599657867E-2</v>
      </c>
      <c r="W330" s="39">
        <f t="shared" si="174"/>
        <v>6.77098833632699E-3</v>
      </c>
      <c r="X330" s="39">
        <f t="shared" si="174"/>
        <v>2.5192276981537223E-2</v>
      </c>
    </row>
    <row r="331" spans="2:59" x14ac:dyDescent="0.25">
      <c r="C331" s="31" t="str">
        <f>C285</f>
        <v>Total Admin expenses</v>
      </c>
      <c r="E331" s="31" t="s">
        <v>292</v>
      </c>
      <c r="G331" s="31">
        <f t="shared" si="174"/>
        <v>0</v>
      </c>
      <c r="H331" s="31">
        <f t="shared" si="174"/>
        <v>0</v>
      </c>
      <c r="I331" s="39">
        <f t="shared" si="174"/>
        <v>8.4556578609049679E-2</v>
      </c>
      <c r="J331" s="39">
        <f t="shared" si="174"/>
        <v>9.0693273928386331E-2</v>
      </c>
      <c r="K331" s="39">
        <f t="shared" si="174"/>
        <v>9.5070797310634947E-2</v>
      </c>
      <c r="L331" s="39">
        <f t="shared" si="174"/>
        <v>0.10712919460452427</v>
      </c>
      <c r="M331" s="39">
        <f t="shared" si="174"/>
        <v>9.3311385950588577E-2</v>
      </c>
      <c r="N331" s="39">
        <f t="shared" si="174"/>
        <v>0.16161004696704237</v>
      </c>
      <c r="O331" s="39">
        <f t="shared" si="174"/>
        <v>9.0885598731421144E-2</v>
      </c>
      <c r="P331" s="39">
        <f t="shared" si="174"/>
        <v>0.13604235577784646</v>
      </c>
      <c r="Q331" s="39">
        <f t="shared" si="174"/>
        <v>0.11532917935333065</v>
      </c>
      <c r="R331" s="39">
        <f t="shared" si="174"/>
        <v>0.1837970397705653</v>
      </c>
      <c r="S331" s="39">
        <f t="shared" si="174"/>
        <v>0.30602302775141216</v>
      </c>
      <c r="T331" s="39">
        <f t="shared" si="174"/>
        <v>0.27035441154913442</v>
      </c>
      <c r="U331" s="39">
        <f t="shared" si="174"/>
        <v>0.17483749887571581</v>
      </c>
      <c r="V331" s="39">
        <f t="shared" si="174"/>
        <v>0.18222048452493139</v>
      </c>
      <c r="W331" s="39">
        <f t="shared" si="174"/>
        <v>0.20747238170300006</v>
      </c>
      <c r="X331" s="39">
        <f t="shared" si="174"/>
        <v>0.34198538534978112</v>
      </c>
    </row>
  </sheetData>
  <conditionalFormatting sqref="I94:X94">
    <cfRule type="colorScale" priority="3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5:X95">
    <cfRule type="colorScale" priority="3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6:X96">
    <cfRule type="colorScale" priority="3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7:X97">
    <cfRule type="colorScale" priority="3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8:X98">
    <cfRule type="colorScale" priority="3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9:X99">
    <cfRule type="colorScale" priority="3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0:X100">
    <cfRule type="colorScale" priority="3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1:X101">
    <cfRule type="colorScale" priority="3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2:X102">
    <cfRule type="colorScale" priority="3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3:X103">
    <cfRule type="colorScale" priority="3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4:X104">
    <cfRule type="colorScale" priority="3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5:X105">
    <cfRule type="colorScale" priority="3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6:X106">
    <cfRule type="colorScale" priority="3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7:X107">
    <cfRule type="colorScale" priority="3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8:X108">
    <cfRule type="colorScale" priority="3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9:X109">
    <cfRule type="colorScale" priority="3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0:X110">
    <cfRule type="colorScale" priority="3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1:X111">
    <cfRule type="colorScale" priority="3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2:X112">
    <cfRule type="colorScale" priority="3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3:X113">
    <cfRule type="colorScale" priority="3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5:X115">
    <cfRule type="colorScale" priority="3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6:X116">
    <cfRule type="colorScale" priority="3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7:X117">
    <cfRule type="colorScale" priority="3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8:X118">
    <cfRule type="colorScale" priority="3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9:X119">
    <cfRule type="colorScale" priority="3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0:X120">
    <cfRule type="colorScale" priority="3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1:X121">
    <cfRule type="colorScale" priority="3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3:X123">
    <cfRule type="colorScale" priority="3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4:X124">
    <cfRule type="colorScale" priority="3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5:X125">
    <cfRule type="colorScale" priority="3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6:X126">
    <cfRule type="colorScale" priority="3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8:X128">
    <cfRule type="colorScale" priority="3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9:X129">
    <cfRule type="colorScale" priority="3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0:X130">
    <cfRule type="colorScale" priority="2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2:X132">
    <cfRule type="colorScale" priority="2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4:X134">
    <cfRule type="colorScale" priority="2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5:X135">
    <cfRule type="colorScale" priority="2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6:X136">
    <cfRule type="colorScale" priority="2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7:X137">
    <cfRule type="colorScale" priority="2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8:X138">
    <cfRule type="colorScale" priority="2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9:X139">
    <cfRule type="colorScale" priority="2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1:X141">
    <cfRule type="colorScale" priority="2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3:X143">
    <cfRule type="colorScale" priority="2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7:X177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2:I200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2:J200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1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2:K200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2:L200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2:M200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82:N200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82:O200">
    <cfRule type="colorScale" priority="2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2:P200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2:Q200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2:R200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2:S200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82:T200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2:U200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2:V200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2:W200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2:X200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3:I208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3:J208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3:K208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3:L208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3:M208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3:N208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3:O208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03:P208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03:Q208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3:R208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3:S208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3:T208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3:U208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3:V208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3:W208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3:X208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1:I213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1:J213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1:K213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1:L213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1:M213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1:N213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1:O213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11:P213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1:Q213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1:R213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3:J226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3:K226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3:L226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3:M226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3:N226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3:O226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23:P226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3:Q226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3:R226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3:S226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3:T226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3:U226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3:V226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3:W226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3:X226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2:I226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2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2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2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2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2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2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22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2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2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2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2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2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2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2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2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8:X238 I235:I239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5:V237 V239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35:W237 W239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35:X237 X239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5:J239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5:K239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5:L239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5:M239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35:N239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5:O239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35:P239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35:Q239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5:R239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5:S239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35:T239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5:U239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9:I270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69:J270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69:K270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69:L270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69:M270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69:N270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69:O270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69:P270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69:Q270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69:R270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69:S270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69:T270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69:U270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69:V270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69:W270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69:X270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8:I25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8:J251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8:K251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8:L251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8:M251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48:N251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8:O251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48:P251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8:Q251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8:R251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8:S251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48:T251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8:U251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8:V251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8:W251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48:X251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8:I260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8:J260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8:K260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8:L260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8:M260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8:N260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8:O260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58:P260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8:Q260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8:R260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8:S260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8:T260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58:U260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58:V260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58:W260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58:X260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7:I285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7:J285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7:K285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7:L285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7:M285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77:N285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7:O285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77:P285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77:Q285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7:R285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7:S285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77:T285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77:U285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77:V285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77:W285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77:X285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5:X145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6:X146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7:X147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X148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0:X150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1:X151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9:X159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2:X152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3:X153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4:X154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8:X158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8:X168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5:X175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1:X171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2:X172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9:X169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3:X173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7:X167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5:X16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3:X16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1:X16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2:X162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0:X160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6:X156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89:X289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0:X290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2:X292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4:X29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5:X29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6:X29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7:X29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8:X29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2:X30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4:X304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5:X305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6:X306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7:X307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9:X309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1:X311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3:X313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5:X315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6:X316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7:X31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9:X31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3:X3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4:X324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6:X32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7:X327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8:X32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9:X32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0:X3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1:X33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BG333"/>
  <sheetViews>
    <sheetView zoomScale="10" zoomScaleNormal="10" workbookViewId="0">
      <pane xSplit="8" ySplit="3" topLeftCell="I4" activePane="bottomRight" state="frozen"/>
      <selection pane="topRight" activeCell="I1" sqref="I1"/>
      <selection pane="bottomLeft" activeCell="A4" sqref="A4"/>
      <selection pane="bottomRight" activeCell="H123" sqref="H123"/>
    </sheetView>
  </sheetViews>
  <sheetFormatPr defaultColWidth="0" defaultRowHeight="15" x14ac:dyDescent="0.25"/>
  <cols>
    <col min="1" max="1" width="2" bestFit="1" customWidth="1"/>
    <col min="2" max="2" width="2.28515625" bestFit="1" customWidth="1"/>
    <col min="3" max="3" width="2.140625" customWidth="1"/>
    <col min="4" max="4" width="71.5703125" bestFit="1" customWidth="1"/>
    <col min="5" max="5" width="21.7109375" bestFit="1" customWidth="1"/>
    <col min="6" max="7" width="16.28515625" customWidth="1"/>
    <col min="8" max="8" width="20.140625" customWidth="1"/>
    <col min="9" max="10" width="15.5703125" bestFit="1" customWidth="1"/>
    <col min="11" max="22" width="15.140625" bestFit="1" customWidth="1"/>
    <col min="23" max="23" width="15.5703125" bestFit="1" customWidth="1"/>
    <col min="24" max="24" width="15.140625" bestFit="1" customWidth="1"/>
    <col min="25" max="25" width="9.140625" customWidth="1"/>
    <col min="26" max="59" width="0" hidden="1" customWidth="1"/>
    <col min="60" max="16384" width="9.140625" hidden="1"/>
  </cols>
  <sheetData>
    <row r="2" spans="2:59" x14ac:dyDescent="0.25">
      <c r="B2" s="42"/>
      <c r="C2" s="42"/>
      <c r="D2" s="42" t="str">
        <f>'2023 Data'!D2</f>
        <v>K - Unity Data</v>
      </c>
    </row>
    <row r="3" spans="2:59" s="10" customFormat="1" x14ac:dyDescent="0.25">
      <c r="B3" s="9"/>
      <c r="C3" s="9"/>
      <c r="D3" s="27">
        <v>2024</v>
      </c>
      <c r="E3" s="9"/>
      <c r="F3" s="68" t="s">
        <v>16</v>
      </c>
      <c r="G3" s="68" t="s">
        <v>84</v>
      </c>
      <c r="H3" s="68" t="s">
        <v>83</v>
      </c>
      <c r="I3" s="9" t="s">
        <v>0</v>
      </c>
      <c r="J3" s="9" t="s">
        <v>1</v>
      </c>
      <c r="K3" s="9" t="s">
        <v>2</v>
      </c>
      <c r="L3" s="9" t="s">
        <v>3</v>
      </c>
      <c r="M3" s="9" t="s">
        <v>4</v>
      </c>
      <c r="N3" s="9" t="s">
        <v>5</v>
      </c>
      <c r="O3" s="9" t="s">
        <v>6</v>
      </c>
      <c r="P3" s="9" t="s">
        <v>7</v>
      </c>
      <c r="Q3" s="9" t="s">
        <v>8</v>
      </c>
      <c r="R3" s="9" t="s">
        <v>9</v>
      </c>
      <c r="S3" s="9" t="s">
        <v>10</v>
      </c>
      <c r="T3" s="9" t="s">
        <v>11</v>
      </c>
      <c r="U3" s="9" t="s">
        <v>12</v>
      </c>
      <c r="V3" s="9" t="s">
        <v>13</v>
      </c>
      <c r="W3" s="9" t="s">
        <v>14</v>
      </c>
      <c r="X3" s="9" t="s">
        <v>15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</row>
    <row r="4" spans="2:59" s="10" customFormat="1" x14ac:dyDescent="0.25"/>
    <row r="5" spans="2:59" s="10" customFormat="1" x14ac:dyDescent="0.25">
      <c r="B5" s="89"/>
      <c r="C5" s="27" t="s">
        <v>82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</row>
    <row r="6" spans="2:59" x14ac:dyDescent="0.25">
      <c r="D6" t="str">
        <f>'2023 Data'!D6</f>
        <v>Interest on short term loan me</v>
      </c>
      <c r="E6" t="s">
        <v>37</v>
      </c>
      <c r="F6" s="13">
        <f t="shared" ref="F6:F23" si="0">SUM(I6:X6)</f>
        <v>40146646</v>
      </c>
      <c r="G6" s="21"/>
      <c r="H6" s="13"/>
      <c r="I6" s="4">
        <v>1194643</v>
      </c>
      <c r="J6" s="4">
        <v>10915940</v>
      </c>
      <c r="K6" s="4">
        <v>2587581</v>
      </c>
      <c r="L6" s="4">
        <v>2024799</v>
      </c>
      <c r="M6" s="4">
        <v>4736744</v>
      </c>
      <c r="N6" s="4">
        <v>606511</v>
      </c>
      <c r="O6" s="4">
        <v>1860844</v>
      </c>
      <c r="P6" s="4">
        <v>1719502</v>
      </c>
      <c r="Q6" s="4">
        <v>97300</v>
      </c>
      <c r="R6" s="4">
        <v>67193</v>
      </c>
      <c r="S6" s="4">
        <v>7796372</v>
      </c>
      <c r="T6" s="4">
        <v>45220</v>
      </c>
      <c r="U6" s="4">
        <v>244891</v>
      </c>
      <c r="V6" s="4">
        <v>51214</v>
      </c>
      <c r="W6" s="4">
        <v>6143438</v>
      </c>
      <c r="X6" s="4">
        <v>54454</v>
      </c>
    </row>
    <row r="7" spans="2:59" x14ac:dyDescent="0.25">
      <c r="D7" t="str">
        <f>'2023 Data'!D7</f>
        <v>Interest on short term loan Cu</v>
      </c>
      <c r="E7" t="s">
        <v>37</v>
      </c>
      <c r="F7" s="13">
        <f t="shared" si="0"/>
        <v>60779965</v>
      </c>
      <c r="G7" s="21"/>
      <c r="H7" s="13"/>
      <c r="I7" s="4">
        <v>5850740</v>
      </c>
      <c r="J7" s="4">
        <v>5456624</v>
      </c>
      <c r="K7" s="4">
        <v>1797858</v>
      </c>
      <c r="L7" s="4">
        <v>5625924</v>
      </c>
      <c r="M7" s="4">
        <v>6188855</v>
      </c>
      <c r="N7" s="4">
        <v>5003756</v>
      </c>
      <c r="O7" s="4">
        <v>5084914</v>
      </c>
      <c r="P7" s="4">
        <v>6275706</v>
      </c>
      <c r="Q7" s="4">
        <v>2943526</v>
      </c>
      <c r="R7" s="4">
        <v>5718916</v>
      </c>
      <c r="S7" s="4">
        <v>2268686</v>
      </c>
      <c r="T7" s="4">
        <v>1159984</v>
      </c>
      <c r="U7" s="4">
        <v>1586825</v>
      </c>
      <c r="V7" s="4">
        <v>894362</v>
      </c>
      <c r="W7" s="4">
        <v>3964827</v>
      </c>
      <c r="X7" s="4">
        <v>958462</v>
      </c>
    </row>
    <row r="8" spans="2:59" x14ac:dyDescent="0.25">
      <c r="D8" t="str">
        <f>'2023 Data'!D8</f>
        <v>Interest on medium term loan m</v>
      </c>
      <c r="E8" t="s">
        <v>37</v>
      </c>
      <c r="F8" s="13">
        <f t="shared" si="0"/>
        <v>56015978</v>
      </c>
      <c r="G8" s="21"/>
      <c r="H8" s="13"/>
      <c r="I8" s="4">
        <v>4056571</v>
      </c>
      <c r="J8" s="4">
        <v>24594940</v>
      </c>
      <c r="K8" s="4">
        <v>2691897</v>
      </c>
      <c r="L8" s="4">
        <v>1568972</v>
      </c>
      <c r="M8" s="4">
        <v>10721361</v>
      </c>
      <c r="N8" s="4">
        <v>634421</v>
      </c>
      <c r="O8" s="4">
        <v>3537327</v>
      </c>
      <c r="P8" s="4">
        <v>5658096</v>
      </c>
      <c r="Q8" s="4">
        <v>1436353</v>
      </c>
      <c r="R8" s="4">
        <v>0</v>
      </c>
      <c r="S8" s="4">
        <v>386485</v>
      </c>
      <c r="T8" s="4">
        <v>0</v>
      </c>
      <c r="U8" s="4">
        <v>0</v>
      </c>
      <c r="V8" s="4">
        <v>297865</v>
      </c>
      <c r="W8" s="4">
        <v>431690</v>
      </c>
      <c r="X8" s="4">
        <v>0</v>
      </c>
    </row>
    <row r="9" spans="2:59" x14ac:dyDescent="0.25">
      <c r="D9" t="str">
        <f>'2023 Data'!D9</f>
        <v>Interest on medium term loan C</v>
      </c>
      <c r="E9" t="s">
        <v>37</v>
      </c>
      <c r="F9" s="13">
        <f t="shared" si="0"/>
        <v>239627084</v>
      </c>
      <c r="G9" s="21"/>
      <c r="H9" s="13"/>
      <c r="I9" s="4">
        <v>37053073</v>
      </c>
      <c r="J9" s="4">
        <v>44082137</v>
      </c>
      <c r="K9" s="4">
        <v>3020109</v>
      </c>
      <c r="L9" s="4">
        <v>13918980</v>
      </c>
      <c r="M9" s="4">
        <v>18950326</v>
      </c>
      <c r="N9" s="4">
        <v>22555964</v>
      </c>
      <c r="O9" s="4">
        <v>31629586</v>
      </c>
      <c r="P9" s="4">
        <v>8821027</v>
      </c>
      <c r="Q9" s="4">
        <v>14490663</v>
      </c>
      <c r="R9" s="4">
        <v>17202041</v>
      </c>
      <c r="S9" s="4">
        <v>9652345</v>
      </c>
      <c r="T9" s="4">
        <v>2029941</v>
      </c>
      <c r="U9" s="4">
        <v>5909537</v>
      </c>
      <c r="V9" s="4">
        <v>3242021</v>
      </c>
      <c r="W9" s="4">
        <v>6363546</v>
      </c>
      <c r="X9" s="4">
        <v>705788</v>
      </c>
    </row>
    <row r="10" spans="2:59" x14ac:dyDescent="0.25">
      <c r="D10" t="str">
        <f>'2023 Data'!D10</f>
        <v>Interest on staff loan</v>
      </c>
      <c r="E10" t="s">
        <v>37</v>
      </c>
      <c r="F10" s="13">
        <f t="shared" si="0"/>
        <v>19774041</v>
      </c>
      <c r="G10" s="21"/>
      <c r="H10" s="13"/>
      <c r="I10" s="4">
        <v>19774041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2:59" x14ac:dyDescent="0.25">
      <c r="D11" t="str">
        <f>'2023 Data'!D11</f>
        <v>Interest on development loan soc</v>
      </c>
      <c r="E11" t="s">
        <v>37</v>
      </c>
      <c r="F11" s="13">
        <f t="shared" si="0"/>
        <v>10551967</v>
      </c>
      <c r="G11" s="21"/>
      <c r="H11" s="13"/>
      <c r="I11" s="4">
        <v>3516486</v>
      </c>
      <c r="J11" s="4">
        <v>0</v>
      </c>
      <c r="K11" s="4">
        <v>20440</v>
      </c>
      <c r="L11" s="4">
        <v>1501295</v>
      </c>
      <c r="M11" s="4">
        <v>0</v>
      </c>
      <c r="N11" s="4">
        <v>0</v>
      </c>
      <c r="O11" s="4">
        <v>1591697</v>
      </c>
      <c r="P11" s="4">
        <v>0</v>
      </c>
      <c r="Q11" s="4">
        <v>3520682</v>
      </c>
      <c r="R11" s="4">
        <v>0</v>
      </c>
      <c r="S11" s="4">
        <v>0</v>
      </c>
      <c r="T11" s="4">
        <v>0</v>
      </c>
      <c r="U11" s="4">
        <v>0</v>
      </c>
      <c r="V11" s="4">
        <v>401367</v>
      </c>
      <c r="W11" s="4">
        <v>0</v>
      </c>
      <c r="X11" s="4">
        <v>0</v>
      </c>
    </row>
    <row r="12" spans="2:59" x14ac:dyDescent="0.25">
      <c r="D12" t="str">
        <f>'2023 Data'!D12</f>
        <v>Interest on overdraft members + society</v>
      </c>
      <c r="E12" t="s">
        <v>37</v>
      </c>
      <c r="F12" s="13">
        <f t="shared" si="0"/>
        <v>19080366</v>
      </c>
      <c r="G12" s="21"/>
      <c r="H12" s="13"/>
      <c r="I12" s="4">
        <f>0+4016659</f>
        <v>4016659</v>
      </c>
      <c r="J12" s="4">
        <v>414862</v>
      </c>
      <c r="K12" s="4">
        <v>1826</v>
      </c>
      <c r="L12" s="4">
        <v>713046</v>
      </c>
      <c r="M12" s="4">
        <v>1542163</v>
      </c>
      <c r="N12" s="4">
        <v>133422</v>
      </c>
      <c r="O12" s="4">
        <v>4553669</v>
      </c>
      <c r="P12" s="4">
        <v>44205</v>
      </c>
      <c r="Q12" s="4">
        <v>2293032</v>
      </c>
      <c r="R12" s="4">
        <v>5038273</v>
      </c>
      <c r="S12" s="4">
        <v>93322</v>
      </c>
      <c r="T12" s="4">
        <v>-21831</v>
      </c>
      <c r="U12" s="4">
        <v>206197</v>
      </c>
      <c r="V12" s="4">
        <v>20213</v>
      </c>
      <c r="W12" s="4">
        <v>5311</v>
      </c>
      <c r="X12" s="4">
        <v>25997</v>
      </c>
    </row>
    <row r="13" spans="2:59" x14ac:dyDescent="0.25">
      <c r="D13" t="str">
        <f>'2023 Data'!D13</f>
        <v>Interest on Overdue loan</v>
      </c>
      <c r="E13" t="s">
        <v>37</v>
      </c>
      <c r="F13" s="13">
        <f t="shared" si="0"/>
        <v>2837299</v>
      </c>
      <c r="G13" s="21"/>
      <c r="H13" s="13"/>
      <c r="I13" s="4">
        <v>322027</v>
      </c>
      <c r="J13" s="4">
        <v>556160</v>
      </c>
      <c r="K13" s="4">
        <v>156712</v>
      </c>
      <c r="L13" s="4">
        <v>456369</v>
      </c>
      <c r="M13" s="4">
        <v>754063</v>
      </c>
      <c r="N13" s="4">
        <v>32240</v>
      </c>
      <c r="O13" s="4">
        <v>406480</v>
      </c>
      <c r="P13" s="4">
        <v>153248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2:59" x14ac:dyDescent="0.25">
      <c r="D14" t="str">
        <f>'2023 Data'!D14</f>
        <v>Advance interest (crop + salary + staff + soko + mfi + raw)</v>
      </c>
      <c r="E14" t="s">
        <v>37</v>
      </c>
      <c r="F14" s="13">
        <f t="shared" si="0"/>
        <v>72228964</v>
      </c>
      <c r="G14" s="21"/>
      <c r="H14" s="13"/>
      <c r="I14" s="4">
        <f>1592191+11408+8933870+73400</f>
        <v>10610869</v>
      </c>
      <c r="J14" s="4">
        <f>1577634+947390+10233088+62800</f>
        <v>12820912</v>
      </c>
      <c r="K14" s="4">
        <f>275663+169386+2445817+1000</f>
        <v>2891866</v>
      </c>
      <c r="L14" s="4">
        <f>1284064+18467+3741901+141400</f>
        <v>5185832</v>
      </c>
      <c r="M14" s="4">
        <f>1768705+233697+5716440+23000</f>
        <v>7741842</v>
      </c>
      <c r="N14" s="4">
        <f>443179+50000+3051715+73000</f>
        <v>3617894</v>
      </c>
      <c r="O14" s="4">
        <f>1408478+26767+5436049+427020</f>
        <v>7298314</v>
      </c>
      <c r="P14" s="4">
        <f>391438+11900+4241501+151620</f>
        <v>4796459</v>
      </c>
      <c r="Q14" s="4">
        <f>231413+3050+2909204+57400</f>
        <v>3201067</v>
      </c>
      <c r="R14" s="4">
        <f>197842+3989167+7400</f>
        <v>4194409</v>
      </c>
      <c r="S14" s="4">
        <f>89932+33000+1777215</f>
        <v>1900147</v>
      </c>
      <c r="T14" s="4">
        <f>79155+1282070</f>
        <v>1361225</v>
      </c>
      <c r="U14" s="4">
        <f>40764+10000+1056309</f>
        <v>1107073</v>
      </c>
      <c r="V14" s="4">
        <f>49942+1202364</f>
        <v>1252306</v>
      </c>
      <c r="W14" s="4">
        <f>471672+453+3100911</f>
        <v>3573036</v>
      </c>
      <c r="X14" s="4">
        <f>87583+588130</f>
        <v>675713</v>
      </c>
    </row>
    <row r="15" spans="2:59" x14ac:dyDescent="0.25">
      <c r="D15" t="str">
        <f>'2023 Data'!D15</f>
        <v>Interest on shirika loan</v>
      </c>
      <c r="E15" t="s">
        <v>37</v>
      </c>
      <c r="F15" s="13">
        <f t="shared" si="0"/>
        <v>5616400</v>
      </c>
      <c r="G15" s="21"/>
      <c r="H15" s="13"/>
      <c r="I15" s="4">
        <v>0</v>
      </c>
      <c r="J15" s="4">
        <v>0</v>
      </c>
      <c r="K15" s="4">
        <v>23129</v>
      </c>
      <c r="L15" s="4">
        <v>385037</v>
      </c>
      <c r="M15" s="4">
        <v>145088</v>
      </c>
      <c r="N15" s="4">
        <v>1072346</v>
      </c>
      <c r="O15" s="4">
        <v>1492916</v>
      </c>
      <c r="P15" s="4">
        <v>664086</v>
      </c>
      <c r="Q15" s="4">
        <v>0</v>
      </c>
      <c r="R15" s="4">
        <v>0</v>
      </c>
      <c r="S15" s="4">
        <v>69150</v>
      </c>
      <c r="T15" s="4">
        <v>0</v>
      </c>
      <c r="U15" s="4">
        <v>18492</v>
      </c>
      <c r="V15" s="4">
        <v>0</v>
      </c>
      <c r="W15" s="4">
        <v>1733405</v>
      </c>
      <c r="X15" s="4">
        <v>12751</v>
      </c>
    </row>
    <row r="16" spans="2:59" x14ac:dyDescent="0.25">
      <c r="D16" t="str">
        <f>'2023 Data'!D16</f>
        <v>Interest on bonus advance loan</v>
      </c>
      <c r="E16" t="s">
        <v>37</v>
      </c>
      <c r="F16" s="13">
        <f t="shared" si="0"/>
        <v>16899662</v>
      </c>
      <c r="G16" s="21"/>
      <c r="H16" s="13"/>
      <c r="I16" s="4">
        <v>0</v>
      </c>
      <c r="J16" s="4">
        <v>8573909</v>
      </c>
      <c r="K16" s="4">
        <v>5430744</v>
      </c>
      <c r="L16" s="4">
        <v>163044</v>
      </c>
      <c r="M16" s="4">
        <v>966365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574834</v>
      </c>
      <c r="T16" s="4">
        <v>0</v>
      </c>
      <c r="U16" s="4">
        <v>0</v>
      </c>
      <c r="V16" s="4">
        <v>0</v>
      </c>
      <c r="W16" s="4">
        <v>1190766</v>
      </c>
      <c r="X16" s="4">
        <v>0</v>
      </c>
    </row>
    <row r="17" spans="2:24" x14ac:dyDescent="0.25">
      <c r="D17" t="str">
        <f>'2023 Data'!D17</f>
        <v>Interest on Premium Financing + penalty interest (raw + loan recovery)</v>
      </c>
      <c r="E17" t="s">
        <v>37</v>
      </c>
      <c r="F17" s="13">
        <f t="shared" si="0"/>
        <v>11223687</v>
      </c>
      <c r="G17" s="21"/>
      <c r="H17" s="13"/>
      <c r="I17" s="4">
        <f>18601+1797915</f>
        <v>1816516</v>
      </c>
      <c r="J17" s="4">
        <f>1339904+49033</f>
        <v>1388937</v>
      </c>
      <c r="K17" s="4">
        <v>360398</v>
      </c>
      <c r="L17" s="4">
        <f>20408+898455</f>
        <v>918863</v>
      </c>
      <c r="M17" s="4">
        <f>623125+151485</f>
        <v>774610</v>
      </c>
      <c r="N17" s="4">
        <f>1810+382754</f>
        <v>384564</v>
      </c>
      <c r="O17" s="4">
        <v>1251879</v>
      </c>
      <c r="P17" s="4">
        <f>787+637934+2000</f>
        <v>640721</v>
      </c>
      <c r="Q17" s="4">
        <v>1640503</v>
      </c>
      <c r="R17" s="4">
        <f>23881+727705</f>
        <v>751586</v>
      </c>
      <c r="S17" s="4">
        <f>3494+753140</f>
        <v>756634</v>
      </c>
      <c r="T17" s="4">
        <v>200727</v>
      </c>
      <c r="U17" s="4">
        <f>950+86663</f>
        <v>87613</v>
      </c>
      <c r="V17" s="4">
        <v>39261</v>
      </c>
      <c r="W17" s="4">
        <f>19761+144463</f>
        <v>164224</v>
      </c>
      <c r="X17" s="4">
        <v>46651</v>
      </c>
    </row>
    <row r="18" spans="2:24" x14ac:dyDescent="0.25">
      <c r="D18" t="str">
        <f>'2023 Data'!D18</f>
        <v>Interest on MFI loan</v>
      </c>
      <c r="E18" t="s">
        <v>37</v>
      </c>
      <c r="F18" s="13">
        <f t="shared" si="0"/>
        <v>14312981</v>
      </c>
      <c r="G18" s="21"/>
      <c r="H18" s="13"/>
      <c r="I18" s="4">
        <v>663886</v>
      </c>
      <c r="J18" s="4">
        <v>1226757</v>
      </c>
      <c r="K18" s="4">
        <v>78728</v>
      </c>
      <c r="L18" s="4">
        <v>1621053</v>
      </c>
      <c r="M18" s="4">
        <v>602916</v>
      </c>
      <c r="N18" s="4">
        <v>770012</v>
      </c>
      <c r="O18" s="4">
        <v>5507681</v>
      </c>
      <c r="P18" s="4">
        <v>2692066</v>
      </c>
      <c r="Q18" s="4">
        <v>967412</v>
      </c>
      <c r="R18" s="4">
        <v>128583</v>
      </c>
      <c r="S18" s="4">
        <v>52437</v>
      </c>
      <c r="T18" s="4">
        <v>0</v>
      </c>
      <c r="U18" s="4">
        <v>0</v>
      </c>
      <c r="V18" s="4">
        <v>0</v>
      </c>
      <c r="W18" s="4">
        <v>1450</v>
      </c>
      <c r="X18" s="4">
        <v>0</v>
      </c>
    </row>
    <row r="19" spans="2:24" x14ac:dyDescent="0.25">
      <c r="D19" t="str">
        <f>'2023 Data'!D19</f>
        <v>Interest on Jijenge Loan</v>
      </c>
      <c r="E19" t="s">
        <v>37</v>
      </c>
      <c r="F19" s="13">
        <f t="shared" si="0"/>
        <v>125287123</v>
      </c>
      <c r="G19" s="21"/>
      <c r="H19" s="13"/>
      <c r="I19" s="4">
        <v>42398405</v>
      </c>
      <c r="J19" s="4">
        <v>12678549</v>
      </c>
      <c r="K19" s="4">
        <v>2129758</v>
      </c>
      <c r="L19" s="4">
        <v>3252422</v>
      </c>
      <c r="M19" s="4">
        <v>8450187</v>
      </c>
      <c r="N19" s="4">
        <v>4767670</v>
      </c>
      <c r="O19" s="4">
        <v>8160155</v>
      </c>
      <c r="P19" s="4">
        <v>11037725</v>
      </c>
      <c r="Q19" s="4">
        <v>11093843</v>
      </c>
      <c r="R19" s="4">
        <v>11384407</v>
      </c>
      <c r="S19" s="4">
        <v>163961</v>
      </c>
      <c r="T19" s="4">
        <v>4448544</v>
      </c>
      <c r="U19" s="4">
        <v>10157</v>
      </c>
      <c r="V19" s="4">
        <v>1198054</v>
      </c>
      <c r="W19" s="4">
        <v>3920445</v>
      </c>
      <c r="X19" s="4">
        <v>192841</v>
      </c>
    </row>
    <row r="20" spans="2:24" x14ac:dyDescent="0.25">
      <c r="D20" t="str">
        <f>'2023 Data'!D20</f>
        <v xml:space="preserve">Interest on Soko loan </v>
      </c>
      <c r="E20" t="s">
        <v>37</v>
      </c>
      <c r="F20" s="13">
        <f t="shared" si="0"/>
        <v>4458</v>
      </c>
      <c r="G20" s="21"/>
      <c r="H20" s="13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4458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2:24" x14ac:dyDescent="0.25">
      <c r="D21" t="str">
        <f>'2023 Data'!D21</f>
        <v>Interest on Inuka loan</v>
      </c>
      <c r="E21" t="s">
        <v>37</v>
      </c>
      <c r="F21" s="13">
        <f t="shared" si="0"/>
        <v>21847865</v>
      </c>
      <c r="G21" s="21"/>
      <c r="H21" s="13"/>
      <c r="I21" s="4">
        <v>1049330</v>
      </c>
      <c r="J21" s="4">
        <v>9731915</v>
      </c>
      <c r="K21" s="4">
        <v>2378277</v>
      </c>
      <c r="L21" s="4">
        <v>1361054</v>
      </c>
      <c r="M21" s="4">
        <v>2570084</v>
      </c>
      <c r="N21" s="4">
        <v>352818</v>
      </c>
      <c r="O21" s="4">
        <v>653483</v>
      </c>
      <c r="P21" s="4">
        <v>1733724</v>
      </c>
      <c r="Q21" s="4">
        <v>233807</v>
      </c>
      <c r="R21" s="4">
        <v>26579</v>
      </c>
      <c r="S21" s="4">
        <v>94353</v>
      </c>
      <c r="T21" s="4">
        <v>215804</v>
      </c>
      <c r="U21" s="4">
        <v>61604</v>
      </c>
      <c r="V21" s="4">
        <v>554994</v>
      </c>
      <c r="W21" s="4">
        <v>639280</v>
      </c>
      <c r="X21" s="4">
        <v>190759</v>
      </c>
    </row>
    <row r="22" spans="2:24" x14ac:dyDescent="0.25">
      <c r="D22" t="str">
        <f>'2023 Data'!D22</f>
        <v>Interest on youthbiz loan</v>
      </c>
      <c r="E22" t="s">
        <v>37</v>
      </c>
      <c r="F22" s="13">
        <f t="shared" si="0"/>
        <v>0</v>
      </c>
      <c r="G22" s="21"/>
      <c r="H22" s="13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2:24" x14ac:dyDescent="0.25">
      <c r="D23" t="str">
        <f>'2023 Data'!D23</f>
        <v>Interest on Kwamua Biashara</v>
      </c>
      <c r="E23" t="s">
        <v>37</v>
      </c>
      <c r="F23" s="13">
        <f t="shared" si="0"/>
        <v>6759860</v>
      </c>
      <c r="G23" s="21"/>
      <c r="H23" s="13"/>
      <c r="I23" s="4">
        <v>1041047</v>
      </c>
      <c r="J23" s="4">
        <v>211866</v>
      </c>
      <c r="K23" s="4">
        <v>50470</v>
      </c>
      <c r="L23" s="4">
        <v>1367303</v>
      </c>
      <c r="M23" s="4">
        <v>126489</v>
      </c>
      <c r="N23" s="4">
        <v>382461</v>
      </c>
      <c r="O23" s="4">
        <v>1426829</v>
      </c>
      <c r="P23" s="4">
        <v>250725</v>
      </c>
      <c r="Q23" s="4">
        <v>215440</v>
      </c>
      <c r="R23" s="4">
        <v>732326</v>
      </c>
      <c r="S23" s="4">
        <v>150735</v>
      </c>
      <c r="T23" s="4">
        <v>79556</v>
      </c>
      <c r="U23" s="4">
        <v>139795</v>
      </c>
      <c r="V23" s="4">
        <v>352659</v>
      </c>
      <c r="W23" s="4">
        <v>169995</v>
      </c>
      <c r="X23" s="4">
        <v>62164</v>
      </c>
    </row>
    <row r="24" spans="2:24" x14ac:dyDescent="0.25">
      <c r="D24" t="str">
        <f>'2023 Data'!D24</f>
        <v>Interest on Uni-Mobiloan</v>
      </c>
      <c r="E24" t="s">
        <v>37</v>
      </c>
      <c r="F24" s="13">
        <f>SUM(I24:X24)</f>
        <v>14076704</v>
      </c>
      <c r="G24" s="21"/>
      <c r="H24" s="13"/>
      <c r="I24" s="4">
        <v>3348134</v>
      </c>
      <c r="J24" s="4">
        <v>1478861</v>
      </c>
      <c r="K24" s="4">
        <v>436063</v>
      </c>
      <c r="L24" s="4">
        <v>637755</v>
      </c>
      <c r="M24" s="4">
        <v>949767</v>
      </c>
      <c r="N24" s="4">
        <v>471838</v>
      </c>
      <c r="O24" s="4">
        <v>1297712</v>
      </c>
      <c r="P24" s="4">
        <v>666747</v>
      </c>
      <c r="Q24" s="4">
        <v>557770</v>
      </c>
      <c r="R24" s="4">
        <v>1771573</v>
      </c>
      <c r="S24" s="4">
        <v>385488</v>
      </c>
      <c r="T24" s="4">
        <v>373670</v>
      </c>
      <c r="U24" s="4">
        <v>223234</v>
      </c>
      <c r="V24" s="4">
        <v>190601</v>
      </c>
      <c r="W24" s="4">
        <v>517767</v>
      </c>
      <c r="X24" s="4">
        <v>769724</v>
      </c>
    </row>
    <row r="25" spans="2:24" x14ac:dyDescent="0.25">
      <c r="B25" t="s">
        <v>51</v>
      </c>
      <c r="D25" s="1" t="s">
        <v>35</v>
      </c>
      <c r="E25" s="2" t="s">
        <v>37</v>
      </c>
      <c r="F25" s="14">
        <f>SUM(F6:F24)</f>
        <v>737071050</v>
      </c>
      <c r="G25" s="45">
        <f>H25-F25</f>
        <v>-1</v>
      </c>
      <c r="H25" s="28">
        <v>737071049</v>
      </c>
      <c r="I25" s="3">
        <f>SUM(I6:I24)</f>
        <v>136712427</v>
      </c>
      <c r="J25" s="3">
        <f t="shared" ref="J25:X25" si="1">SUM(J6:J24)</f>
        <v>134132369</v>
      </c>
      <c r="K25" s="3">
        <f t="shared" si="1"/>
        <v>24055856</v>
      </c>
      <c r="L25" s="3">
        <f t="shared" si="1"/>
        <v>40701748</v>
      </c>
      <c r="M25" s="3">
        <f t="shared" si="1"/>
        <v>65220860</v>
      </c>
      <c r="N25" s="3">
        <f t="shared" si="1"/>
        <v>40785917</v>
      </c>
      <c r="O25" s="3">
        <f t="shared" si="1"/>
        <v>75753486</v>
      </c>
      <c r="P25" s="3">
        <f t="shared" si="1"/>
        <v>45154037</v>
      </c>
      <c r="Q25" s="3">
        <f t="shared" si="1"/>
        <v>42691398</v>
      </c>
      <c r="R25" s="3">
        <f t="shared" si="1"/>
        <v>47015886</v>
      </c>
      <c r="S25" s="3">
        <f t="shared" si="1"/>
        <v>24349407</v>
      </c>
      <c r="T25" s="3">
        <f t="shared" si="1"/>
        <v>9892840</v>
      </c>
      <c r="U25" s="3">
        <f t="shared" si="1"/>
        <v>9595418</v>
      </c>
      <c r="V25" s="3">
        <f t="shared" si="1"/>
        <v>8494917</v>
      </c>
      <c r="W25" s="3">
        <f t="shared" si="1"/>
        <v>28819180</v>
      </c>
      <c r="X25" s="3">
        <f t="shared" si="1"/>
        <v>3695304</v>
      </c>
    </row>
    <row r="26" spans="2:24" x14ac:dyDescent="0.25">
      <c r="F26" s="15"/>
      <c r="G26" s="22"/>
      <c r="H26" s="15"/>
    </row>
    <row r="27" spans="2:24" x14ac:dyDescent="0.25">
      <c r="D27" t="s">
        <v>38</v>
      </c>
      <c r="E27" t="s">
        <v>37</v>
      </c>
      <c r="F27" s="13">
        <f t="shared" ref="F27:F32" si="2">SUM(I27:X27)</f>
        <v>6555824</v>
      </c>
      <c r="G27" s="21"/>
      <c r="H27" s="13"/>
      <c r="I27" s="4">
        <v>1385400</v>
      </c>
      <c r="J27" s="4">
        <v>993642</v>
      </c>
      <c r="K27" s="4">
        <v>456250</v>
      </c>
      <c r="L27" s="4">
        <v>607000</v>
      </c>
      <c r="M27" s="4">
        <v>785300</v>
      </c>
      <c r="N27" s="4">
        <v>289850</v>
      </c>
      <c r="O27" s="4">
        <v>442781</v>
      </c>
      <c r="P27" s="4">
        <v>360971</v>
      </c>
      <c r="Q27" s="4">
        <v>385400</v>
      </c>
      <c r="R27" s="4">
        <v>186080</v>
      </c>
      <c r="S27" s="4">
        <v>125100</v>
      </c>
      <c r="T27" s="4">
        <v>61800</v>
      </c>
      <c r="U27" s="4">
        <v>56700</v>
      </c>
      <c r="V27" s="4">
        <v>43600</v>
      </c>
      <c r="W27" s="4">
        <v>267650</v>
      </c>
      <c r="X27" s="4">
        <v>108300</v>
      </c>
    </row>
    <row r="28" spans="2:24" x14ac:dyDescent="0.25">
      <c r="D28" t="s">
        <v>39</v>
      </c>
      <c r="E28" t="s">
        <v>37</v>
      </c>
      <c r="F28" s="13">
        <f t="shared" si="2"/>
        <v>1123218</v>
      </c>
      <c r="G28" s="21"/>
      <c r="H28" s="13"/>
      <c r="I28" s="4">
        <v>198154</v>
      </c>
      <c r="J28" s="4">
        <v>2409</v>
      </c>
      <c r="K28" s="4">
        <v>115172</v>
      </c>
      <c r="L28" s="4">
        <v>382062</v>
      </c>
      <c r="M28" s="4">
        <v>15704</v>
      </c>
      <c r="N28" s="4">
        <v>102463</v>
      </c>
      <c r="O28" s="4">
        <v>46712</v>
      </c>
      <c r="P28" s="4">
        <v>45978</v>
      </c>
      <c r="Q28" s="4">
        <v>27311</v>
      </c>
      <c r="R28" s="4">
        <v>25</v>
      </c>
      <c r="S28" s="4">
        <v>89754</v>
      </c>
      <c r="T28" s="4">
        <v>0</v>
      </c>
      <c r="U28" s="4">
        <v>5000</v>
      </c>
      <c r="V28" s="4">
        <v>4000</v>
      </c>
      <c r="W28" s="4">
        <v>88474</v>
      </c>
      <c r="X28" s="4">
        <v>0</v>
      </c>
    </row>
    <row r="29" spans="2:24" x14ac:dyDescent="0.25">
      <c r="D29" t="s">
        <v>40</v>
      </c>
      <c r="E29" t="s">
        <v>37</v>
      </c>
      <c r="F29" s="13">
        <f t="shared" si="2"/>
        <v>21041314</v>
      </c>
      <c r="G29" s="21"/>
      <c r="H29" s="13"/>
      <c r="I29" s="4">
        <v>2097935</v>
      </c>
      <c r="J29" s="4">
        <v>5167674</v>
      </c>
      <c r="K29" s="4">
        <v>1327412</v>
      </c>
      <c r="L29" s="4">
        <v>1776691</v>
      </c>
      <c r="M29" s="4">
        <v>2979161</v>
      </c>
      <c r="N29" s="4">
        <v>1435526</v>
      </c>
      <c r="O29" s="4">
        <v>1065532</v>
      </c>
      <c r="P29" s="4">
        <v>1582370</v>
      </c>
      <c r="Q29" s="4">
        <v>654683</v>
      </c>
      <c r="R29" s="4">
        <v>1222458</v>
      </c>
      <c r="S29" s="4">
        <v>542688</v>
      </c>
      <c r="T29" s="4">
        <v>-800882</v>
      </c>
      <c r="U29" s="4">
        <v>436014</v>
      </c>
      <c r="V29" s="4">
        <v>-83648</v>
      </c>
      <c r="W29" s="4">
        <v>1341180</v>
      </c>
      <c r="X29" s="4">
        <v>296520</v>
      </c>
    </row>
    <row r="30" spans="2:24" x14ac:dyDescent="0.25">
      <c r="D30" t="s">
        <v>41</v>
      </c>
      <c r="E30" t="s">
        <v>37</v>
      </c>
      <c r="F30" s="13">
        <f t="shared" si="2"/>
        <v>3495360</v>
      </c>
      <c r="G30" s="21"/>
      <c r="H30" s="13"/>
      <c r="I30" s="4">
        <v>166560</v>
      </c>
      <c r="J30" s="4">
        <v>349920</v>
      </c>
      <c r="K30" s="4">
        <v>20640</v>
      </c>
      <c r="L30" s="4">
        <v>403200</v>
      </c>
      <c r="M30" s="4">
        <v>148800</v>
      </c>
      <c r="N30" s="4">
        <v>210720</v>
      </c>
      <c r="O30" s="4">
        <v>1193280</v>
      </c>
      <c r="P30" s="4">
        <v>769920</v>
      </c>
      <c r="Q30" s="4">
        <v>183360</v>
      </c>
      <c r="R30" s="4">
        <v>46560</v>
      </c>
      <c r="S30" s="4">
        <v>2400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</row>
    <row r="31" spans="2:24" x14ac:dyDescent="0.25">
      <c r="D31" t="s">
        <v>42</v>
      </c>
      <c r="E31" t="s">
        <v>37</v>
      </c>
      <c r="F31" s="13">
        <f t="shared" si="2"/>
        <v>208700</v>
      </c>
      <c r="G31" s="21"/>
      <c r="H31" s="13"/>
      <c r="I31" s="4">
        <v>6800</v>
      </c>
      <c r="J31" s="4">
        <v>8400</v>
      </c>
      <c r="K31" s="4">
        <v>400</v>
      </c>
      <c r="L31" s="4">
        <v>17200</v>
      </c>
      <c r="M31" s="4">
        <v>3600</v>
      </c>
      <c r="N31" s="4">
        <v>26000</v>
      </c>
      <c r="O31" s="4">
        <v>87900</v>
      </c>
      <c r="P31" s="4">
        <v>48800</v>
      </c>
      <c r="Q31" s="4">
        <v>7200</v>
      </c>
      <c r="R31" s="4">
        <v>2400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</row>
    <row r="32" spans="2:24" x14ac:dyDescent="0.25">
      <c r="D32" t="s">
        <v>43</v>
      </c>
      <c r="E32" t="s">
        <v>37</v>
      </c>
      <c r="F32" s="13">
        <f t="shared" si="2"/>
        <v>213097</v>
      </c>
      <c r="G32" s="21"/>
      <c r="H32" s="13"/>
      <c r="I32" s="4">
        <v>7195</v>
      </c>
      <c r="J32" s="4">
        <v>22575</v>
      </c>
      <c r="K32" s="4">
        <v>111</v>
      </c>
      <c r="L32" s="4">
        <v>20396</v>
      </c>
      <c r="M32" s="4">
        <v>8862</v>
      </c>
      <c r="N32" s="4">
        <v>28635</v>
      </c>
      <c r="O32" s="4">
        <v>83366</v>
      </c>
      <c r="P32" s="4">
        <v>24397</v>
      </c>
      <c r="Q32" s="4">
        <v>3153</v>
      </c>
      <c r="R32" s="4">
        <v>3347</v>
      </c>
      <c r="S32" s="4">
        <v>8560</v>
      </c>
      <c r="T32" s="4">
        <v>0</v>
      </c>
      <c r="U32" s="4">
        <v>0</v>
      </c>
      <c r="V32" s="4">
        <v>0</v>
      </c>
      <c r="W32" s="4">
        <v>0</v>
      </c>
      <c r="X32" s="4">
        <v>2500</v>
      </c>
    </row>
    <row r="33" spans="2:24" x14ac:dyDescent="0.25">
      <c r="B33" t="s">
        <v>51</v>
      </c>
      <c r="D33" s="1" t="s">
        <v>44</v>
      </c>
      <c r="E33" s="1" t="s">
        <v>37</v>
      </c>
      <c r="F33" s="14">
        <f>SUM(F27:F32)</f>
        <v>32637513</v>
      </c>
      <c r="G33" s="23"/>
      <c r="H33" s="14"/>
      <c r="I33" s="3">
        <f>SUM(I27:I32)</f>
        <v>3862044</v>
      </c>
      <c r="J33" s="3">
        <f t="shared" ref="J33:X33" si="3">SUM(J27:J32)</f>
        <v>6544620</v>
      </c>
      <c r="K33" s="3">
        <f t="shared" si="3"/>
        <v>1919985</v>
      </c>
      <c r="L33" s="3">
        <f t="shared" si="3"/>
        <v>3206549</v>
      </c>
      <c r="M33" s="3">
        <f t="shared" si="3"/>
        <v>3941427</v>
      </c>
      <c r="N33" s="3">
        <f t="shared" si="3"/>
        <v>2093194</v>
      </c>
      <c r="O33" s="3">
        <f t="shared" si="3"/>
        <v>2919571</v>
      </c>
      <c r="P33" s="3">
        <f t="shared" si="3"/>
        <v>2832436</v>
      </c>
      <c r="Q33" s="3">
        <f t="shared" si="3"/>
        <v>1261107</v>
      </c>
      <c r="R33" s="3">
        <f t="shared" si="3"/>
        <v>1460870</v>
      </c>
      <c r="S33" s="3">
        <f t="shared" si="3"/>
        <v>768502</v>
      </c>
      <c r="T33" s="3">
        <f t="shared" si="3"/>
        <v>-739082</v>
      </c>
      <c r="U33" s="3">
        <f t="shared" si="3"/>
        <v>497714</v>
      </c>
      <c r="V33" s="3">
        <f t="shared" si="3"/>
        <v>-36048</v>
      </c>
      <c r="W33" s="3">
        <f t="shared" si="3"/>
        <v>1697304</v>
      </c>
      <c r="X33" s="3">
        <f t="shared" si="3"/>
        <v>407320</v>
      </c>
    </row>
    <row r="34" spans="2:24" x14ac:dyDescent="0.25">
      <c r="F34" s="15"/>
      <c r="G34" s="21"/>
      <c r="H34" s="15"/>
    </row>
    <row r="35" spans="2:24" x14ac:dyDescent="0.25">
      <c r="D35" t="s">
        <v>45</v>
      </c>
      <c r="E35" t="s">
        <v>37</v>
      </c>
      <c r="F35" s="13">
        <f>SUM(I35:X35)</f>
        <v>13034253</v>
      </c>
      <c r="G35" s="21"/>
      <c r="H35" s="13"/>
      <c r="I35" s="4">
        <v>1343379</v>
      </c>
      <c r="J35" s="4">
        <v>3424280</v>
      </c>
      <c r="K35" s="4">
        <v>1539820</v>
      </c>
      <c r="L35" s="4">
        <v>790610</v>
      </c>
      <c r="M35" s="4">
        <v>485896</v>
      </c>
      <c r="N35" s="4">
        <v>1833459</v>
      </c>
      <c r="O35" s="4">
        <v>1814795</v>
      </c>
      <c r="P35" s="4">
        <v>1099913</v>
      </c>
      <c r="Q35" s="4">
        <v>405534</v>
      </c>
      <c r="R35" s="4">
        <v>296567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</row>
    <row r="36" spans="2:24" x14ac:dyDescent="0.25">
      <c r="D36" t="s">
        <v>46</v>
      </c>
      <c r="E36" t="s">
        <v>37</v>
      </c>
      <c r="F36" s="13">
        <f>SUM(I36:X36)</f>
        <v>234268</v>
      </c>
      <c r="G36" s="21"/>
      <c r="H36" s="13"/>
      <c r="I36" s="4">
        <v>11270</v>
      </c>
      <c r="J36" s="4">
        <v>35640</v>
      </c>
      <c r="K36" s="4">
        <v>11082</v>
      </c>
      <c r="L36" s="4">
        <v>26002</v>
      </c>
      <c r="M36" s="4">
        <v>24950</v>
      </c>
      <c r="N36" s="4">
        <v>12475</v>
      </c>
      <c r="O36" s="4">
        <v>83595</v>
      </c>
      <c r="P36" s="4">
        <v>14791</v>
      </c>
      <c r="Q36" s="4">
        <v>14463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</row>
    <row r="37" spans="2:24" x14ac:dyDescent="0.25">
      <c r="D37" t="s">
        <v>81</v>
      </c>
      <c r="E37" t="s">
        <v>37</v>
      </c>
      <c r="F37" s="13">
        <f>SUM(I37:X37)</f>
        <v>10399992</v>
      </c>
      <c r="G37" s="22">
        <v>0</v>
      </c>
      <c r="H37" s="13"/>
      <c r="I37" s="4">
        <v>0</v>
      </c>
      <c r="J37" s="4">
        <v>1299996</v>
      </c>
      <c r="K37" s="4">
        <v>0</v>
      </c>
      <c r="L37" s="4">
        <v>0</v>
      </c>
      <c r="M37" s="4">
        <v>2600004</v>
      </c>
      <c r="N37" s="4">
        <v>1299996</v>
      </c>
      <c r="O37" s="4">
        <v>1950000</v>
      </c>
      <c r="P37" s="4">
        <v>1950000</v>
      </c>
      <c r="Q37" s="4">
        <v>1299996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</row>
    <row r="38" spans="2:24" x14ac:dyDescent="0.25">
      <c r="D38" t="s">
        <v>277</v>
      </c>
      <c r="E38" t="s">
        <v>37</v>
      </c>
      <c r="F38" s="13">
        <f>SUM(I38:X38)</f>
        <v>10365</v>
      </c>
      <c r="G38" s="22"/>
      <c r="H38" s="13"/>
      <c r="I38" s="4">
        <v>0</v>
      </c>
      <c r="J38" s="4">
        <v>0</v>
      </c>
      <c r="K38" s="4">
        <v>0</v>
      </c>
      <c r="L38" s="4">
        <v>0</v>
      </c>
      <c r="M38" s="4">
        <v>10365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</row>
    <row r="39" spans="2:24" x14ac:dyDescent="0.25">
      <c r="D39" s="1" t="s">
        <v>47</v>
      </c>
      <c r="E39" s="1" t="s">
        <v>37</v>
      </c>
      <c r="F39" s="14">
        <f>SUM(F35:F38)</f>
        <v>23678878</v>
      </c>
      <c r="G39" s="24"/>
      <c r="H39" s="14">
        <f>F39+SUM(G35:G37)</f>
        <v>23678878</v>
      </c>
      <c r="I39" s="3">
        <f>SUM(I35:I38)</f>
        <v>1354649</v>
      </c>
      <c r="J39" s="3">
        <f t="shared" ref="J39:X39" si="4">SUM(J35:J38)</f>
        <v>4759916</v>
      </c>
      <c r="K39" s="3">
        <f t="shared" si="4"/>
        <v>1550902</v>
      </c>
      <c r="L39" s="3">
        <f t="shared" si="4"/>
        <v>816612</v>
      </c>
      <c r="M39" s="3">
        <f t="shared" si="4"/>
        <v>3121215</v>
      </c>
      <c r="N39" s="3">
        <f t="shared" si="4"/>
        <v>3145930</v>
      </c>
      <c r="O39" s="3">
        <f t="shared" si="4"/>
        <v>3848390</v>
      </c>
      <c r="P39" s="3">
        <f t="shared" si="4"/>
        <v>3064704</v>
      </c>
      <c r="Q39" s="3">
        <f t="shared" si="4"/>
        <v>1719993</v>
      </c>
      <c r="R39" s="3">
        <f t="shared" si="4"/>
        <v>296567</v>
      </c>
      <c r="S39" s="3">
        <f t="shared" si="4"/>
        <v>0</v>
      </c>
      <c r="T39" s="3">
        <f t="shared" si="4"/>
        <v>0</v>
      </c>
      <c r="U39" s="3">
        <f t="shared" si="4"/>
        <v>0</v>
      </c>
      <c r="V39" s="3">
        <f t="shared" si="4"/>
        <v>0</v>
      </c>
      <c r="W39" s="3">
        <f t="shared" si="4"/>
        <v>0</v>
      </c>
      <c r="X39" s="3">
        <f t="shared" si="4"/>
        <v>0</v>
      </c>
    </row>
    <row r="40" spans="2:24" x14ac:dyDescent="0.25">
      <c r="F40" s="16"/>
      <c r="G40" s="21"/>
      <c r="H40" s="16"/>
    </row>
    <row r="41" spans="2:24" x14ac:dyDescent="0.25">
      <c r="D41" t="s">
        <v>48</v>
      </c>
      <c r="E41" t="s">
        <v>37</v>
      </c>
      <c r="F41" s="13">
        <f>SUM(I41:X41)</f>
        <v>66730025</v>
      </c>
      <c r="G41" s="22">
        <v>0</v>
      </c>
      <c r="H41" s="13"/>
      <c r="I41" s="4">
        <v>0</v>
      </c>
      <c r="J41" s="4">
        <v>36171461</v>
      </c>
      <c r="K41" s="4">
        <v>5099004</v>
      </c>
      <c r="L41" s="4">
        <v>0</v>
      </c>
      <c r="M41" s="4">
        <v>18271857</v>
      </c>
      <c r="N41" s="4">
        <v>0</v>
      </c>
      <c r="O41" s="4">
        <v>7187703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</row>
    <row r="42" spans="2:24" x14ac:dyDescent="0.25">
      <c r="D42" t="s">
        <v>49</v>
      </c>
      <c r="E42" t="s">
        <v>37</v>
      </c>
      <c r="F42" s="13">
        <f>SUM(I42:X42)</f>
        <v>19020729</v>
      </c>
      <c r="G42" s="22">
        <v>0</v>
      </c>
      <c r="H42" s="13"/>
      <c r="I42" s="4">
        <v>445902</v>
      </c>
      <c r="J42" s="4">
        <v>17946663</v>
      </c>
      <c r="K42" s="4">
        <v>0</v>
      </c>
      <c r="L42" s="4">
        <v>0</v>
      </c>
      <c r="M42" s="4">
        <v>628164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</row>
    <row r="43" spans="2:24" x14ac:dyDescent="0.25">
      <c r="B43" t="s">
        <v>51</v>
      </c>
      <c r="D43" s="1" t="s">
        <v>50</v>
      </c>
      <c r="E43" s="1" t="s">
        <v>37</v>
      </c>
      <c r="F43" s="14">
        <f>SUM(F41:F42)</f>
        <v>85750754</v>
      </c>
      <c r="G43" s="24"/>
      <c r="H43" s="14">
        <f>F43+SUM(G41:G42)</f>
        <v>85750754</v>
      </c>
      <c r="I43" s="3">
        <f>SUM(I41:I42)</f>
        <v>445902</v>
      </c>
      <c r="J43" s="3">
        <f t="shared" ref="J43:X43" si="5">SUM(J41:J42)</f>
        <v>54118124</v>
      </c>
      <c r="K43" s="3">
        <f t="shared" si="5"/>
        <v>5099004</v>
      </c>
      <c r="L43" s="3">
        <f t="shared" si="5"/>
        <v>0</v>
      </c>
      <c r="M43" s="3">
        <f t="shared" si="5"/>
        <v>18900021</v>
      </c>
      <c r="N43" s="3">
        <f t="shared" si="5"/>
        <v>0</v>
      </c>
      <c r="O43" s="3">
        <f t="shared" si="5"/>
        <v>7187703</v>
      </c>
      <c r="P43" s="3">
        <f t="shared" si="5"/>
        <v>0</v>
      </c>
      <c r="Q43" s="3">
        <f t="shared" si="5"/>
        <v>0</v>
      </c>
      <c r="R43" s="3">
        <f t="shared" si="5"/>
        <v>0</v>
      </c>
      <c r="S43" s="3">
        <f t="shared" si="5"/>
        <v>0</v>
      </c>
      <c r="T43" s="3">
        <f t="shared" si="5"/>
        <v>0</v>
      </c>
      <c r="U43" s="3">
        <f t="shared" si="5"/>
        <v>0</v>
      </c>
      <c r="V43" s="3">
        <f t="shared" si="5"/>
        <v>0</v>
      </c>
      <c r="W43" s="3">
        <f t="shared" si="5"/>
        <v>0</v>
      </c>
      <c r="X43" s="3">
        <f t="shared" si="5"/>
        <v>0</v>
      </c>
    </row>
    <row r="44" spans="2:24" x14ac:dyDescent="0.25">
      <c r="D44" s="18"/>
      <c r="E44" s="18"/>
      <c r="F44" s="16"/>
      <c r="G44" s="33"/>
      <c r="H44" s="16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2:24" x14ac:dyDescent="0.25">
      <c r="C45" s="18"/>
      <c r="D45" s="18" t="s">
        <v>86</v>
      </c>
      <c r="E45" s="18" t="s">
        <v>37</v>
      </c>
      <c r="F45" s="16">
        <f>SUM(I45:X45)</f>
        <v>109429632</v>
      </c>
      <c r="G45" s="35"/>
      <c r="H45" s="17">
        <f>H39+H43</f>
        <v>109429632</v>
      </c>
      <c r="I45" s="30">
        <f>I39+I43</f>
        <v>1800551</v>
      </c>
      <c r="J45" s="30">
        <f t="shared" ref="J45:X45" si="6">J39+J43</f>
        <v>58878040</v>
      </c>
      <c r="K45" s="30">
        <f t="shared" si="6"/>
        <v>6649906</v>
      </c>
      <c r="L45" s="30">
        <f t="shared" si="6"/>
        <v>816612</v>
      </c>
      <c r="M45" s="30">
        <f t="shared" si="6"/>
        <v>22021236</v>
      </c>
      <c r="N45" s="30">
        <f t="shared" si="6"/>
        <v>3145930</v>
      </c>
      <c r="O45" s="30">
        <f t="shared" si="6"/>
        <v>11036093</v>
      </c>
      <c r="P45" s="30">
        <f t="shared" si="6"/>
        <v>3064704</v>
      </c>
      <c r="Q45" s="30">
        <f t="shared" si="6"/>
        <v>1719993</v>
      </c>
      <c r="R45" s="30">
        <f t="shared" si="6"/>
        <v>296567</v>
      </c>
      <c r="S45" s="30">
        <f t="shared" si="6"/>
        <v>0</v>
      </c>
      <c r="T45" s="30">
        <f t="shared" si="6"/>
        <v>0</v>
      </c>
      <c r="U45" s="30">
        <f t="shared" si="6"/>
        <v>0</v>
      </c>
      <c r="V45" s="30">
        <f t="shared" si="6"/>
        <v>0</v>
      </c>
      <c r="W45" s="30">
        <f t="shared" si="6"/>
        <v>0</v>
      </c>
      <c r="X45" s="30">
        <f t="shared" si="6"/>
        <v>0</v>
      </c>
    </row>
    <row r="46" spans="2:24" x14ac:dyDescent="0.25">
      <c r="F46" s="15"/>
      <c r="G46" s="21"/>
      <c r="H46" s="32"/>
    </row>
    <row r="47" spans="2:24" x14ac:dyDescent="0.25">
      <c r="D47" t="s">
        <v>53</v>
      </c>
      <c r="E47" t="s">
        <v>37</v>
      </c>
      <c r="F47" s="13">
        <f>SUM(I47:X47)</f>
        <v>10131507</v>
      </c>
      <c r="G47" s="21"/>
      <c r="H47" s="13"/>
      <c r="I47" s="4">
        <v>1144750</v>
      </c>
      <c r="J47" s="4">
        <v>2127936</v>
      </c>
      <c r="K47" s="4">
        <v>1266734</v>
      </c>
      <c r="L47" s="4">
        <v>868283</v>
      </c>
      <c r="M47" s="4">
        <v>1988621</v>
      </c>
      <c r="N47" s="4">
        <v>228216</v>
      </c>
      <c r="O47" s="4">
        <v>1023338</v>
      </c>
      <c r="P47" s="4">
        <v>675330</v>
      </c>
      <c r="Q47" s="4">
        <v>166650</v>
      </c>
      <c r="R47" s="4">
        <v>122341</v>
      </c>
      <c r="S47" s="4">
        <v>23318</v>
      </c>
      <c r="T47" s="4">
        <v>37500</v>
      </c>
      <c r="U47" s="4">
        <v>49900</v>
      </c>
      <c r="V47" s="4">
        <v>89904</v>
      </c>
      <c r="W47" s="4">
        <v>116048</v>
      </c>
      <c r="X47" s="4">
        <v>202638</v>
      </c>
    </row>
    <row r="48" spans="2:24" x14ac:dyDescent="0.25">
      <c r="D48" t="s">
        <v>54</v>
      </c>
      <c r="E48" t="s">
        <v>37</v>
      </c>
      <c r="F48" s="13">
        <f>SUM(I48:X48)</f>
        <v>27360908</v>
      </c>
      <c r="G48" s="21"/>
      <c r="H48" s="13"/>
      <c r="I48" s="4">
        <v>2237089</v>
      </c>
      <c r="J48" s="4">
        <v>4478355</v>
      </c>
      <c r="K48" s="4">
        <v>1786581</v>
      </c>
      <c r="L48" s="4">
        <v>2164882</v>
      </c>
      <c r="M48" s="4">
        <v>4863787</v>
      </c>
      <c r="N48" s="4">
        <v>1327674</v>
      </c>
      <c r="O48" s="4">
        <v>1991857</v>
      </c>
      <c r="P48" s="4">
        <v>2489435</v>
      </c>
      <c r="Q48" s="4">
        <v>796300</v>
      </c>
      <c r="R48" s="4">
        <v>1022163</v>
      </c>
      <c r="S48" s="4">
        <v>795604</v>
      </c>
      <c r="T48" s="4">
        <v>239893</v>
      </c>
      <c r="U48" s="4">
        <v>744541</v>
      </c>
      <c r="V48" s="4">
        <v>520100</v>
      </c>
      <c r="W48" s="4">
        <v>1432794</v>
      </c>
      <c r="X48" s="4">
        <v>469853</v>
      </c>
    </row>
    <row r="49" spans="4:24" x14ac:dyDescent="0.25">
      <c r="D49" t="s">
        <v>56</v>
      </c>
      <c r="E49" t="s">
        <v>37</v>
      </c>
      <c r="F49" s="13">
        <f>SUM(I49:X49)</f>
        <v>12984431</v>
      </c>
      <c r="G49" s="21"/>
      <c r="H49" s="13"/>
      <c r="I49" s="4">
        <f>832892+347221</f>
        <v>1180113</v>
      </c>
      <c r="J49" s="4">
        <f>602718+237848</f>
        <v>840566</v>
      </c>
      <c r="K49" s="4">
        <f>76454+85439</f>
        <v>161893</v>
      </c>
      <c r="L49" s="4">
        <f>511425+185479</f>
        <v>696904</v>
      </c>
      <c r="M49" s="4">
        <f>869413+324509</f>
        <v>1193922</v>
      </c>
      <c r="N49" s="4">
        <f>459140+162836</f>
        <v>621976</v>
      </c>
      <c r="O49" s="4">
        <f>1482949+313798</f>
        <v>1796747</v>
      </c>
      <c r="P49" s="4">
        <f>1150783+419931</f>
        <v>1570714</v>
      </c>
      <c r="Q49" s="4">
        <f>477161+117271</f>
        <v>594432</v>
      </c>
      <c r="R49" s="4">
        <f>1340639+254238</f>
        <v>1594877</v>
      </c>
      <c r="S49" s="4">
        <f>252089+110300</f>
        <v>362389</v>
      </c>
      <c r="T49" s="4">
        <f>339045+57974</f>
        <v>397019</v>
      </c>
      <c r="U49" s="4">
        <f>397089+97199</f>
        <v>494288</v>
      </c>
      <c r="V49" s="4">
        <f>185133+54531</f>
        <v>239664</v>
      </c>
      <c r="W49" s="4">
        <f>555023+183026</f>
        <v>738049</v>
      </c>
      <c r="X49" s="4">
        <f>418418+82460</f>
        <v>500878</v>
      </c>
    </row>
    <row r="50" spans="4:24" x14ac:dyDescent="0.25">
      <c r="D50" t="s">
        <v>55</v>
      </c>
      <c r="E50" t="s">
        <v>37</v>
      </c>
      <c r="F50" s="13">
        <f>SUM(I50:X50)</f>
        <v>12841942</v>
      </c>
      <c r="G50" s="21"/>
      <c r="H50" s="13"/>
      <c r="I50" s="4">
        <v>827722</v>
      </c>
      <c r="J50" s="4">
        <v>3085938</v>
      </c>
      <c r="K50" s="4">
        <v>770616</v>
      </c>
      <c r="L50" s="4">
        <v>1112196</v>
      </c>
      <c r="M50" s="4">
        <v>2735366</v>
      </c>
      <c r="N50" s="4">
        <v>545057</v>
      </c>
      <c r="O50" s="4">
        <v>1388853</v>
      </c>
      <c r="P50" s="4">
        <v>1159399</v>
      </c>
      <c r="Q50" s="4">
        <v>393460</v>
      </c>
      <c r="R50" s="4">
        <v>223943</v>
      </c>
      <c r="S50" s="4">
        <v>130419</v>
      </c>
      <c r="T50" s="4">
        <v>76466</v>
      </c>
      <c r="U50" s="4">
        <v>110019</v>
      </c>
      <c r="V50" s="4">
        <v>121420</v>
      </c>
      <c r="W50" s="4">
        <v>115259</v>
      </c>
      <c r="X50" s="4">
        <v>45809</v>
      </c>
    </row>
    <row r="51" spans="4:24" x14ac:dyDescent="0.25">
      <c r="D51" t="s">
        <v>52</v>
      </c>
      <c r="E51" t="s">
        <v>37</v>
      </c>
      <c r="F51" s="13">
        <f>SUM(I51:X51)</f>
        <v>24733827</v>
      </c>
      <c r="G51" s="22">
        <v>0</v>
      </c>
      <c r="H51" s="13"/>
      <c r="I51" s="5">
        <f>7332166-SUM(I47:I50)</f>
        <v>1942492</v>
      </c>
      <c r="J51" s="5">
        <f>16411803-SUM(J47:J50)</f>
        <v>5879008</v>
      </c>
      <c r="K51" s="5">
        <f>5600011-SUM(K47:K50)</f>
        <v>1614187</v>
      </c>
      <c r="L51" s="5">
        <f>6487751-SUM(L47:L50)</f>
        <v>1645486</v>
      </c>
      <c r="M51" s="5">
        <f>14354025-SUM(M47:M50)</f>
        <v>3572329</v>
      </c>
      <c r="N51" s="5">
        <f>3524659-SUM(N47:N50)</f>
        <v>801736</v>
      </c>
      <c r="O51" s="5">
        <f>8265058-SUM(O47:O50)</f>
        <v>2064263</v>
      </c>
      <c r="P51" s="5">
        <f>7909592-SUM(P47:P50)</f>
        <v>2014714</v>
      </c>
      <c r="Q51" s="5">
        <f>2870725-SUM(Q47:Q50)</f>
        <v>919883</v>
      </c>
      <c r="R51" s="5">
        <f>3762194-SUM(R47:R50)</f>
        <v>798870</v>
      </c>
      <c r="S51" s="5">
        <f>1814778-SUM(S47:S50)</f>
        <v>503048</v>
      </c>
      <c r="T51" s="5">
        <f>1199597-SUM(T47:T50)</f>
        <v>448719</v>
      </c>
      <c r="U51" s="5">
        <f>2188571-SUM(U47:U50)</f>
        <v>789823</v>
      </c>
      <c r="V51" s="5">
        <f>1307930-SUM(V47:V50)</f>
        <v>336842</v>
      </c>
      <c r="W51" s="5">
        <f>3463020-SUM(W47:W50)</f>
        <v>1060870</v>
      </c>
      <c r="X51" s="5">
        <f>1560735-SUM(X47:X50)</f>
        <v>341557</v>
      </c>
    </row>
    <row r="52" spans="4:24" x14ac:dyDescent="0.25">
      <c r="D52" s="1" t="s">
        <v>57</v>
      </c>
      <c r="E52" s="1" t="s">
        <v>37</v>
      </c>
      <c r="F52" s="14">
        <f>SUM(F47:F51)</f>
        <v>88052615</v>
      </c>
      <c r="G52" s="23"/>
      <c r="H52" s="14">
        <f>F52+SUM(G47:G51)</f>
        <v>88052615</v>
      </c>
      <c r="I52" s="3">
        <f>SUM(I47:I51)</f>
        <v>7332166</v>
      </c>
      <c r="J52" s="3">
        <f t="shared" ref="J52:X52" si="7">SUM(J47:J51)</f>
        <v>16411803</v>
      </c>
      <c r="K52" s="3">
        <f t="shared" si="7"/>
        <v>5600011</v>
      </c>
      <c r="L52" s="3">
        <f t="shared" si="7"/>
        <v>6487751</v>
      </c>
      <c r="M52" s="3">
        <f t="shared" si="7"/>
        <v>14354025</v>
      </c>
      <c r="N52" s="3">
        <f t="shared" si="7"/>
        <v>3524659</v>
      </c>
      <c r="O52" s="3">
        <f t="shared" si="7"/>
        <v>8265058</v>
      </c>
      <c r="P52" s="3">
        <f t="shared" si="7"/>
        <v>7909592</v>
      </c>
      <c r="Q52" s="3">
        <f t="shared" si="7"/>
        <v>2870725</v>
      </c>
      <c r="R52" s="3">
        <f t="shared" si="7"/>
        <v>3762194</v>
      </c>
      <c r="S52" s="3">
        <f t="shared" si="7"/>
        <v>1814778</v>
      </c>
      <c r="T52" s="3">
        <f t="shared" si="7"/>
        <v>1199597</v>
      </c>
      <c r="U52" s="3">
        <f t="shared" si="7"/>
        <v>2188571</v>
      </c>
      <c r="V52" s="3">
        <f t="shared" si="7"/>
        <v>1307930</v>
      </c>
      <c r="W52" s="3">
        <f t="shared" si="7"/>
        <v>3463020</v>
      </c>
      <c r="X52" s="3">
        <f t="shared" si="7"/>
        <v>1560735</v>
      </c>
    </row>
    <row r="53" spans="4:24" x14ac:dyDescent="0.25">
      <c r="D53" s="18"/>
      <c r="E53" s="18"/>
      <c r="F53" s="16"/>
      <c r="G53" s="21"/>
      <c r="H53" s="16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</row>
    <row r="54" spans="4:24" x14ac:dyDescent="0.25">
      <c r="D54" s="18" t="s">
        <v>85</v>
      </c>
      <c r="E54" s="18" t="s">
        <v>37</v>
      </c>
      <c r="F54" s="16">
        <v>0</v>
      </c>
      <c r="G54" s="22">
        <v>0</v>
      </c>
      <c r="H54" s="16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4:24" ht="15.75" thickBot="1" x14ac:dyDescent="0.3">
      <c r="F55" s="15"/>
      <c r="G55" s="21"/>
      <c r="H55" s="15"/>
    </row>
    <row r="56" spans="4:24" ht="15.75" thickBot="1" x14ac:dyDescent="0.3">
      <c r="D56" s="6" t="s">
        <v>58</v>
      </c>
      <c r="E56" s="7" t="s">
        <v>37</v>
      </c>
      <c r="F56" s="25">
        <f>F25+F33+F39+F43+F52+F54</f>
        <v>967190810</v>
      </c>
      <c r="G56" s="29">
        <f>SUM(G6:G54)</f>
        <v>-1</v>
      </c>
      <c r="H56" s="25">
        <f>F56+G56</f>
        <v>967190809</v>
      </c>
      <c r="I56" s="8">
        <f t="shared" ref="I56:X56" si="8">I25+I33+I39+I43+I52</f>
        <v>149707188</v>
      </c>
      <c r="J56" s="8">
        <f t="shared" si="8"/>
        <v>215966832</v>
      </c>
      <c r="K56" s="8">
        <f t="shared" si="8"/>
        <v>38225758</v>
      </c>
      <c r="L56" s="8">
        <f t="shared" si="8"/>
        <v>51212660</v>
      </c>
      <c r="M56" s="8">
        <f t="shared" si="8"/>
        <v>105537548</v>
      </c>
      <c r="N56" s="8">
        <f t="shared" si="8"/>
        <v>49549700</v>
      </c>
      <c r="O56" s="8">
        <f t="shared" si="8"/>
        <v>97974208</v>
      </c>
      <c r="P56" s="8">
        <f t="shared" si="8"/>
        <v>58960769</v>
      </c>
      <c r="Q56" s="8">
        <f t="shared" si="8"/>
        <v>48543223</v>
      </c>
      <c r="R56" s="8">
        <f t="shared" si="8"/>
        <v>52535517</v>
      </c>
      <c r="S56" s="8">
        <f t="shared" si="8"/>
        <v>26932687</v>
      </c>
      <c r="T56" s="8">
        <f t="shared" si="8"/>
        <v>10353355</v>
      </c>
      <c r="U56" s="8">
        <f t="shared" si="8"/>
        <v>12281703</v>
      </c>
      <c r="V56" s="8">
        <f t="shared" si="8"/>
        <v>9766799</v>
      </c>
      <c r="W56" s="8">
        <f t="shared" si="8"/>
        <v>33979504</v>
      </c>
      <c r="X56" s="26">
        <f t="shared" si="8"/>
        <v>5663359</v>
      </c>
    </row>
    <row r="57" spans="4:24" x14ac:dyDescent="0.25">
      <c r="F57" s="15"/>
      <c r="G57" s="21"/>
      <c r="H57" s="15"/>
    </row>
    <row r="58" spans="4:24" x14ac:dyDescent="0.25">
      <c r="D58" t="s">
        <v>59</v>
      </c>
      <c r="E58" t="s">
        <v>37</v>
      </c>
      <c r="F58" s="13">
        <f>SUM(I58:X58)</f>
        <v>-137377401</v>
      </c>
      <c r="G58" s="21"/>
      <c r="H58" s="13"/>
      <c r="I58" s="4">
        <v>-26109213</v>
      </c>
      <c r="J58" s="4">
        <v>-17722816</v>
      </c>
      <c r="K58" s="4">
        <v>-4039941</v>
      </c>
      <c r="L58" s="4">
        <v>-9180277</v>
      </c>
      <c r="M58" s="4">
        <v>-16934340</v>
      </c>
      <c r="N58" s="4">
        <v>-5932370</v>
      </c>
      <c r="O58" s="4">
        <v>-14097436</v>
      </c>
      <c r="P58" s="4">
        <v>-13378596</v>
      </c>
      <c r="Q58" s="4">
        <v>-10076641</v>
      </c>
      <c r="R58" s="4">
        <f>-9442443</f>
        <v>-9442443</v>
      </c>
      <c r="S58" s="4">
        <v>-936912</v>
      </c>
      <c r="T58" s="4">
        <v>-2776690</v>
      </c>
      <c r="U58" s="4">
        <v>-1072408</v>
      </c>
      <c r="V58" s="4">
        <v>-1548444</v>
      </c>
      <c r="W58" s="4">
        <v>-3293397</v>
      </c>
      <c r="X58" s="4">
        <v>-835477</v>
      </c>
    </row>
    <row r="59" spans="4:24" x14ac:dyDescent="0.25">
      <c r="D59" t="s">
        <v>60</v>
      </c>
      <c r="E59" t="s">
        <v>37</v>
      </c>
      <c r="F59" s="13">
        <f>SUM(I59:X59)</f>
        <v>-12745753</v>
      </c>
      <c r="G59" s="21"/>
      <c r="H59" s="13"/>
      <c r="I59" s="4">
        <v>-690380</v>
      </c>
      <c r="J59" s="4">
        <v>-546330</v>
      </c>
      <c r="K59" s="4">
        <v>-283910</v>
      </c>
      <c r="L59" s="4">
        <v>-399292</v>
      </c>
      <c r="M59" s="4">
        <v>-7576524</v>
      </c>
      <c r="N59" s="4">
        <v>-1499315</v>
      </c>
      <c r="O59" s="4">
        <v>-1106457</v>
      </c>
      <c r="P59" s="4">
        <v>-503412</v>
      </c>
      <c r="Q59" s="4">
        <v>-24369</v>
      </c>
      <c r="R59" s="4">
        <v>0</v>
      </c>
      <c r="S59" s="4">
        <v>0</v>
      </c>
      <c r="T59" s="4">
        <v>-90000</v>
      </c>
      <c r="U59" s="4">
        <v>-25758</v>
      </c>
      <c r="V59" s="4">
        <v>0</v>
      </c>
      <c r="W59" s="4">
        <v>0</v>
      </c>
      <c r="X59" s="4">
        <v>-6</v>
      </c>
    </row>
    <row r="60" spans="4:24" x14ac:dyDescent="0.25">
      <c r="D60" t="s">
        <v>61</v>
      </c>
      <c r="E60" t="s">
        <v>37</v>
      </c>
      <c r="F60" s="13">
        <f>SUM(I60:X60)</f>
        <v>0</v>
      </c>
      <c r="G60" s="21"/>
      <c r="H60" s="13"/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</row>
    <row r="61" spans="4:24" x14ac:dyDescent="0.25">
      <c r="D61" s="1" t="s">
        <v>62</v>
      </c>
      <c r="E61" s="2" t="s">
        <v>37</v>
      </c>
      <c r="F61" s="14">
        <f>SUM(F58:F60)</f>
        <v>-150123154</v>
      </c>
      <c r="G61" s="23"/>
      <c r="H61" s="14"/>
      <c r="I61" s="3">
        <f>SUM(I58:I60)</f>
        <v>-26799593</v>
      </c>
      <c r="J61" s="3">
        <f t="shared" ref="J61:X61" si="9">SUM(J58:J60)</f>
        <v>-18269146</v>
      </c>
      <c r="K61" s="3">
        <f t="shared" si="9"/>
        <v>-4323851</v>
      </c>
      <c r="L61" s="3">
        <f t="shared" si="9"/>
        <v>-9579569</v>
      </c>
      <c r="M61" s="3">
        <f t="shared" si="9"/>
        <v>-24510864</v>
      </c>
      <c r="N61" s="3">
        <f t="shared" si="9"/>
        <v>-7431685</v>
      </c>
      <c r="O61" s="3">
        <f t="shared" si="9"/>
        <v>-15203893</v>
      </c>
      <c r="P61" s="3">
        <f t="shared" si="9"/>
        <v>-13882008</v>
      </c>
      <c r="Q61" s="3">
        <f t="shared" si="9"/>
        <v>-10101010</v>
      </c>
      <c r="R61" s="3">
        <f t="shared" si="9"/>
        <v>-9442443</v>
      </c>
      <c r="S61" s="3">
        <f t="shared" si="9"/>
        <v>-936912</v>
      </c>
      <c r="T61" s="3">
        <f t="shared" si="9"/>
        <v>-2866690</v>
      </c>
      <c r="U61" s="3">
        <f t="shared" si="9"/>
        <v>-1098166</v>
      </c>
      <c r="V61" s="3">
        <f t="shared" si="9"/>
        <v>-1548444</v>
      </c>
      <c r="W61" s="3">
        <f t="shared" si="9"/>
        <v>-3293397</v>
      </c>
      <c r="X61" s="3">
        <f t="shared" si="9"/>
        <v>-835483</v>
      </c>
    </row>
    <row r="62" spans="4:24" x14ac:dyDescent="0.25">
      <c r="F62" s="15"/>
      <c r="G62" s="21"/>
      <c r="H62" s="15"/>
    </row>
    <row r="63" spans="4:24" x14ac:dyDescent="0.25">
      <c r="D63" t="s">
        <v>63</v>
      </c>
      <c r="E63" t="s">
        <v>37</v>
      </c>
      <c r="F63" s="13">
        <f>SUM(I63:X63)</f>
        <v>-10588128</v>
      </c>
      <c r="G63" s="21"/>
      <c r="H63" s="13"/>
      <c r="I63" s="4">
        <v>-943307</v>
      </c>
      <c r="J63" s="4">
        <v>-576555</v>
      </c>
      <c r="K63" s="4">
        <v>-121313</v>
      </c>
      <c r="L63" s="4">
        <v>-592677</v>
      </c>
      <c r="M63" s="4">
        <v>-788792</v>
      </c>
      <c r="N63" s="4">
        <v>-666755</v>
      </c>
      <c r="O63" s="4">
        <v>-1191453</v>
      </c>
      <c r="P63" s="4">
        <v>-1601042</v>
      </c>
      <c r="Q63" s="4">
        <v>-684889</v>
      </c>
      <c r="R63" s="4">
        <v>-1618800</v>
      </c>
      <c r="S63" s="4">
        <v>-313593</v>
      </c>
      <c r="T63" s="4">
        <v>-222132</v>
      </c>
      <c r="U63" s="4">
        <v>-369724</v>
      </c>
      <c r="V63" s="4">
        <v>-190693</v>
      </c>
      <c r="W63" s="4">
        <v>-449202</v>
      </c>
      <c r="X63" s="4">
        <v>-257201</v>
      </c>
    </row>
    <row r="64" spans="4:24" x14ac:dyDescent="0.25">
      <c r="D64" t="s">
        <v>64</v>
      </c>
      <c r="E64" t="s">
        <v>37</v>
      </c>
      <c r="F64" s="13">
        <f>SUM(I64:X64)</f>
        <v>-736927</v>
      </c>
      <c r="G64" s="21"/>
      <c r="H64" s="13"/>
      <c r="I64" s="4">
        <v>0</v>
      </c>
      <c r="J64" s="4">
        <v>-245642</v>
      </c>
      <c r="K64" s="4">
        <v>-491285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</row>
    <row r="65" spans="4:24" x14ac:dyDescent="0.25">
      <c r="D65" t="s">
        <v>67</v>
      </c>
      <c r="E65" t="s">
        <v>37</v>
      </c>
      <c r="F65" s="13">
        <f>SUM(I65:X65)</f>
        <v>-22700</v>
      </c>
      <c r="G65" s="21"/>
      <c r="H65" s="13"/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-8000</v>
      </c>
      <c r="S65" s="4">
        <v>-3100</v>
      </c>
      <c r="T65" s="4">
        <v>-5800</v>
      </c>
      <c r="U65" s="4">
        <v>-5800</v>
      </c>
      <c r="V65" s="4">
        <v>0</v>
      </c>
      <c r="W65" s="4">
        <v>0</v>
      </c>
      <c r="X65" s="4">
        <v>0</v>
      </c>
    </row>
    <row r="66" spans="4:24" x14ac:dyDescent="0.25">
      <c r="D66" t="s">
        <v>65</v>
      </c>
      <c r="E66" t="s">
        <v>37</v>
      </c>
      <c r="F66" s="13">
        <f>SUM(I66:X66)</f>
        <v>-671146</v>
      </c>
      <c r="G66" s="22">
        <v>0</v>
      </c>
      <c r="H66" s="13"/>
      <c r="I66" s="4">
        <v>-140857</v>
      </c>
      <c r="J66" s="4">
        <v>-145605</v>
      </c>
      <c r="K66" s="4">
        <v>-29270</v>
      </c>
      <c r="L66" s="4">
        <v>-81631</v>
      </c>
      <c r="M66" s="4">
        <v>-54857</v>
      </c>
      <c r="N66" s="4">
        <v>-14336</v>
      </c>
      <c r="O66" s="4">
        <v>-80532</v>
      </c>
      <c r="P66" s="4">
        <v>-40117</v>
      </c>
      <c r="Q66" s="4">
        <v>-11102</v>
      </c>
      <c r="R66" s="4">
        <v>-39814</v>
      </c>
      <c r="S66" s="4">
        <v>-5710</v>
      </c>
      <c r="T66" s="4">
        <v>-1490</v>
      </c>
      <c r="U66" s="4">
        <v>-24482</v>
      </c>
      <c r="V66" s="4">
        <v>-1745</v>
      </c>
      <c r="W66" s="4">
        <v>-350</v>
      </c>
      <c r="X66" s="4">
        <v>752</v>
      </c>
    </row>
    <row r="67" spans="4:24" x14ac:dyDescent="0.25">
      <c r="D67" s="1" t="s">
        <v>66</v>
      </c>
      <c r="E67" s="1" t="s">
        <v>37</v>
      </c>
      <c r="F67" s="14">
        <f>SUM(F63:F66)</f>
        <v>-12018901</v>
      </c>
      <c r="G67" s="23"/>
      <c r="H67" s="14">
        <f>F67+SUM(G63:G66)</f>
        <v>-12018901</v>
      </c>
      <c r="I67" s="3">
        <f t="shared" ref="I67:X67" si="10">SUM(I63:I66)</f>
        <v>-1084164</v>
      </c>
      <c r="J67" s="3">
        <f t="shared" si="10"/>
        <v>-967802</v>
      </c>
      <c r="K67" s="3">
        <f t="shared" si="10"/>
        <v>-641868</v>
      </c>
      <c r="L67" s="3">
        <f t="shared" si="10"/>
        <v>-674308</v>
      </c>
      <c r="M67" s="3">
        <f t="shared" si="10"/>
        <v>-843649</v>
      </c>
      <c r="N67" s="3">
        <f t="shared" si="10"/>
        <v>-681091</v>
      </c>
      <c r="O67" s="3">
        <f t="shared" si="10"/>
        <v>-1271985</v>
      </c>
      <c r="P67" s="3">
        <f t="shared" si="10"/>
        <v>-1641159</v>
      </c>
      <c r="Q67" s="3">
        <f t="shared" si="10"/>
        <v>-695991</v>
      </c>
      <c r="R67" s="3">
        <f t="shared" si="10"/>
        <v>-1666614</v>
      </c>
      <c r="S67" s="3">
        <f t="shared" si="10"/>
        <v>-322403</v>
      </c>
      <c r="T67" s="3">
        <f t="shared" si="10"/>
        <v>-229422</v>
      </c>
      <c r="U67" s="3">
        <f t="shared" si="10"/>
        <v>-400006</v>
      </c>
      <c r="V67" s="3">
        <f t="shared" si="10"/>
        <v>-192438</v>
      </c>
      <c r="W67" s="3">
        <f t="shared" si="10"/>
        <v>-449552</v>
      </c>
      <c r="X67" s="3">
        <f t="shared" si="10"/>
        <v>-256449</v>
      </c>
    </row>
    <row r="68" spans="4:24" x14ac:dyDescent="0.25">
      <c r="F68" s="15"/>
      <c r="G68" s="21"/>
      <c r="H68" s="15"/>
    </row>
    <row r="69" spans="4:24" x14ac:dyDescent="0.25">
      <c r="D69" t="s">
        <v>65</v>
      </c>
      <c r="E69" t="s">
        <v>37</v>
      </c>
      <c r="F69" s="13">
        <f>SUM(I69:X69)</f>
        <v>0</v>
      </c>
      <c r="G69" s="21"/>
      <c r="H69" s="13"/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</row>
    <row r="70" spans="4:24" x14ac:dyDescent="0.25">
      <c r="F70" s="15"/>
      <c r="G70" s="21"/>
      <c r="H70" s="15"/>
    </row>
    <row r="71" spans="4:24" x14ac:dyDescent="0.25">
      <c r="D71" t="s">
        <v>68</v>
      </c>
      <c r="E71" t="s">
        <v>37</v>
      </c>
      <c r="F71" s="13">
        <f>SUM(I71:X71)</f>
        <v>-117296332</v>
      </c>
      <c r="G71" s="22">
        <v>0</v>
      </c>
      <c r="H71" s="13">
        <f>F71+G71</f>
        <v>-117296332</v>
      </c>
      <c r="I71" s="4">
        <v>-9217893</v>
      </c>
      <c r="J71" s="4">
        <v>-12234267</v>
      </c>
      <c r="K71" s="4">
        <v>1559261</v>
      </c>
      <c r="L71" s="4">
        <v>-2299543</v>
      </c>
      <c r="M71" s="4">
        <v>-16725031</v>
      </c>
      <c r="N71" s="4">
        <v>-2238274</v>
      </c>
      <c r="O71" s="4">
        <v>-4557331</v>
      </c>
      <c r="P71" s="4">
        <v>-5793784</v>
      </c>
      <c r="Q71" s="4">
        <v>-13593539</v>
      </c>
      <c r="R71" s="4">
        <v>-28952929</v>
      </c>
      <c r="S71" s="4">
        <v>-14456798</v>
      </c>
      <c r="T71" s="4">
        <v>-1161513</v>
      </c>
      <c r="U71" s="4">
        <v>-3587690</v>
      </c>
      <c r="V71" s="4">
        <v>-1220701</v>
      </c>
      <c r="W71" s="4">
        <v>-2622874</v>
      </c>
      <c r="X71" s="4">
        <v>-193426</v>
      </c>
    </row>
    <row r="72" spans="4:24" x14ac:dyDescent="0.25">
      <c r="F72" s="15"/>
      <c r="G72" s="21"/>
      <c r="H72" s="15"/>
    </row>
    <row r="73" spans="4:24" x14ac:dyDescent="0.25">
      <c r="D73" t="s">
        <v>69</v>
      </c>
      <c r="E73" t="s">
        <v>37</v>
      </c>
      <c r="F73" s="13">
        <f>SUM(I73:X73)</f>
        <v>-93418728</v>
      </c>
      <c r="G73" s="21"/>
      <c r="H73" s="13"/>
      <c r="I73" s="4">
        <v>-7070359</v>
      </c>
      <c r="J73" s="4">
        <v>-8975542</v>
      </c>
      <c r="K73" s="4">
        <v>-5755374</v>
      </c>
      <c r="L73" s="4">
        <v>-7787200</v>
      </c>
      <c r="M73" s="4">
        <v>-11428336</v>
      </c>
      <c r="N73" s="4">
        <v>-5758966</v>
      </c>
      <c r="O73" s="4">
        <v>-8356989</v>
      </c>
      <c r="P73" s="4">
        <v>-7285498</v>
      </c>
      <c r="Q73" s="4">
        <v>-5315499</v>
      </c>
      <c r="R73" s="4">
        <v>-6474099</v>
      </c>
      <c r="S73" s="4">
        <v>-3325364</v>
      </c>
      <c r="T73" s="4">
        <v>-3320954</v>
      </c>
      <c r="U73" s="4">
        <v>-2852852</v>
      </c>
      <c r="V73" s="4">
        <v>-3172203</v>
      </c>
      <c r="W73" s="4">
        <v>-3780032</v>
      </c>
      <c r="X73" s="4">
        <v>-2759461</v>
      </c>
    </row>
    <row r="74" spans="4:24" x14ac:dyDescent="0.25">
      <c r="D74" t="s">
        <v>70</v>
      </c>
      <c r="E74" t="s">
        <v>37</v>
      </c>
      <c r="F74" s="13">
        <f>SUM(I74:X74)</f>
        <v>-21733528</v>
      </c>
      <c r="G74" s="21"/>
      <c r="H74" s="13"/>
      <c r="I74" s="4">
        <f>-1652599</f>
        <v>-1652599</v>
      </c>
      <c r="J74" s="4">
        <v>-2069894</v>
      </c>
      <c r="K74" s="4">
        <v>-1378847</v>
      </c>
      <c r="L74" s="4">
        <v>-1882810</v>
      </c>
      <c r="M74" s="4">
        <v>-2733098</v>
      </c>
      <c r="N74" s="4">
        <v>-1375752</v>
      </c>
      <c r="O74" s="4">
        <v>-1961252</v>
      </c>
      <c r="P74" s="4">
        <v>-1697384</v>
      </c>
      <c r="Q74" s="4">
        <v>-1204882</v>
      </c>
      <c r="R74" s="4">
        <v>-1499530</v>
      </c>
      <c r="S74" s="4">
        <v>-706014</v>
      </c>
      <c r="T74" s="4">
        <v>-725444</v>
      </c>
      <c r="U74" s="4">
        <v>-604421</v>
      </c>
      <c r="V74" s="4">
        <v>-758055</v>
      </c>
      <c r="W74" s="4">
        <v>-882137</v>
      </c>
      <c r="X74" s="4">
        <v>-601409</v>
      </c>
    </row>
    <row r="75" spans="4:24" x14ac:dyDescent="0.25">
      <c r="D75" t="s">
        <v>71</v>
      </c>
      <c r="E75" t="s">
        <v>37</v>
      </c>
      <c r="F75" s="13">
        <f>SUM(I75:X75)</f>
        <v>-51537083</v>
      </c>
      <c r="G75" s="21"/>
      <c r="H75" s="13"/>
      <c r="I75" s="5">
        <f>-12014095-SUM(I73:I74)</f>
        <v>-3291137</v>
      </c>
      <c r="J75" s="5">
        <f>-15313356-SUM(J73:J74)</f>
        <v>-4267920</v>
      </c>
      <c r="K75" s="5">
        <f>-9750455-SUM(K73:K74)</f>
        <v>-2616234</v>
      </c>
      <c r="L75" s="5">
        <f>-14198460-SUM(L73:L74)</f>
        <v>-4528450</v>
      </c>
      <c r="M75" s="5">
        <f>-19196737-SUM(M73:M74)</f>
        <v>-5035303</v>
      </c>
      <c r="N75" s="5">
        <f>-11341406-SUM(N73:N74)</f>
        <v>-4206688</v>
      </c>
      <c r="O75" s="5">
        <f>-14612557-SUM(O73:O74)</f>
        <v>-4294316</v>
      </c>
      <c r="P75" s="5">
        <f>-12364061-SUM(P73:P74)</f>
        <v>-3381179</v>
      </c>
      <c r="Q75" s="5">
        <f>-9152717-SUM(Q73:Q74)</f>
        <v>-2632336</v>
      </c>
      <c r="R75" s="5">
        <f>-12077289-SUM(R73:R74)</f>
        <v>-4103660</v>
      </c>
      <c r="S75" s="5">
        <f>-6823213-SUM(S73:S74)</f>
        <v>-2791835</v>
      </c>
      <c r="T75" s="5">
        <f>-6077350-SUM(T73:T74)</f>
        <v>-2030952</v>
      </c>
      <c r="U75" s="5">
        <f>-5144978-SUM(U73:U74)</f>
        <v>-1687705</v>
      </c>
      <c r="V75" s="5">
        <f>-5624796-SUM(V73:V74)</f>
        <v>-1694538</v>
      </c>
      <c r="W75" s="5">
        <f>-7610518-SUM(W73:W74)</f>
        <v>-2948349</v>
      </c>
      <c r="X75" s="5">
        <f>-5387351-SUM(X73:X74)</f>
        <v>-2026481</v>
      </c>
    </row>
    <row r="76" spans="4:24" x14ac:dyDescent="0.25">
      <c r="D76" s="1" t="s">
        <v>72</v>
      </c>
      <c r="E76" s="2" t="s">
        <v>37</v>
      </c>
      <c r="F76" s="14">
        <f>SUM(F73:F75)</f>
        <v>-166689339</v>
      </c>
      <c r="G76" s="45">
        <f>H76-F76</f>
        <v>0</v>
      </c>
      <c r="H76" s="28">
        <f>F76</f>
        <v>-166689339</v>
      </c>
      <c r="I76" s="3">
        <f>SUM(I73:I75)</f>
        <v>-12014095</v>
      </c>
      <c r="J76" s="3">
        <f t="shared" ref="J76:X76" si="11">SUM(J73:J75)</f>
        <v>-15313356</v>
      </c>
      <c r="K76" s="3">
        <f t="shared" si="11"/>
        <v>-9750455</v>
      </c>
      <c r="L76" s="3">
        <f t="shared" si="11"/>
        <v>-14198460</v>
      </c>
      <c r="M76" s="3">
        <f t="shared" si="11"/>
        <v>-19196737</v>
      </c>
      <c r="N76" s="3">
        <f t="shared" si="11"/>
        <v>-11341406</v>
      </c>
      <c r="O76" s="3">
        <f t="shared" si="11"/>
        <v>-14612557</v>
      </c>
      <c r="P76" s="3">
        <f t="shared" si="11"/>
        <v>-12364061</v>
      </c>
      <c r="Q76" s="3">
        <f t="shared" si="11"/>
        <v>-9152717</v>
      </c>
      <c r="R76" s="3">
        <f t="shared" si="11"/>
        <v>-12077289</v>
      </c>
      <c r="S76" s="3">
        <f t="shared" si="11"/>
        <v>-6823213</v>
      </c>
      <c r="T76" s="3">
        <f t="shared" si="11"/>
        <v>-6077350</v>
      </c>
      <c r="U76" s="3">
        <f t="shared" si="11"/>
        <v>-5144978</v>
      </c>
      <c r="V76" s="3">
        <f t="shared" si="11"/>
        <v>-5624796</v>
      </c>
      <c r="W76" s="3">
        <f t="shared" si="11"/>
        <v>-7610518</v>
      </c>
      <c r="X76" s="3">
        <f t="shared" si="11"/>
        <v>-5387351</v>
      </c>
    </row>
    <row r="77" spans="4:24" x14ac:dyDescent="0.25">
      <c r="F77" s="15"/>
      <c r="G77" s="21"/>
      <c r="H77" s="15"/>
    </row>
    <row r="78" spans="4:24" x14ac:dyDescent="0.25">
      <c r="D78" t="s">
        <v>73</v>
      </c>
      <c r="E78" t="s">
        <v>37</v>
      </c>
      <c r="F78" s="13">
        <f>SUM(I78:X78)</f>
        <v>-56550927</v>
      </c>
      <c r="G78" s="22">
        <v>0</v>
      </c>
      <c r="H78" s="13">
        <f>F78+G78</f>
        <v>-56550927</v>
      </c>
      <c r="I78" s="4">
        <v>-5086634</v>
      </c>
      <c r="J78" s="4">
        <v>-11846974</v>
      </c>
      <c r="K78" s="4">
        <v>-2825915</v>
      </c>
      <c r="L78" s="4">
        <v>-6217021</v>
      </c>
      <c r="M78" s="4">
        <v>-13564396</v>
      </c>
      <c r="N78" s="4">
        <v>-3969950</v>
      </c>
      <c r="O78" s="4">
        <v>-5621639</v>
      </c>
      <c r="P78" s="4">
        <v>-3956281</v>
      </c>
      <c r="Q78" s="4">
        <v>-2260726</v>
      </c>
      <c r="R78" s="4">
        <v>-568205</v>
      </c>
      <c r="S78" s="4">
        <v>-583186</v>
      </c>
      <c r="T78" s="4">
        <v>-34000</v>
      </c>
      <c r="U78" s="4">
        <v>0</v>
      </c>
      <c r="V78" s="4">
        <v>-16000</v>
      </c>
      <c r="W78" s="4">
        <v>0</v>
      </c>
      <c r="X78" s="4">
        <v>0</v>
      </c>
    </row>
    <row r="79" spans="4:24" x14ac:dyDescent="0.25">
      <c r="F79" s="15"/>
      <c r="G79" s="22"/>
      <c r="H79" s="15"/>
    </row>
    <row r="80" spans="4:24" x14ac:dyDescent="0.25">
      <c r="D80" t="s">
        <v>74</v>
      </c>
      <c r="E80" t="s">
        <v>37</v>
      </c>
      <c r="F80" s="13">
        <f>SUM(I80:X80)</f>
        <v>-1717399</v>
      </c>
      <c r="G80" s="22">
        <v>0</v>
      </c>
      <c r="H80" s="13">
        <f>F80+G80</f>
        <v>-1717399</v>
      </c>
      <c r="I80" s="4">
        <v>-163638</v>
      </c>
      <c r="J80" s="4">
        <v>-202825</v>
      </c>
      <c r="K80" s="4">
        <v>-104950</v>
      </c>
      <c r="L80" s="4">
        <v>-111500</v>
      </c>
      <c r="M80" s="4">
        <v>-20182</v>
      </c>
      <c r="N80" s="4">
        <v>-104460</v>
      </c>
      <c r="O80" s="4">
        <v>-168680</v>
      </c>
      <c r="P80" s="4">
        <v>-36200</v>
      </c>
      <c r="Q80" s="4">
        <v>-161875</v>
      </c>
      <c r="R80" s="4">
        <v>-62232</v>
      </c>
      <c r="S80" s="4">
        <v>-175100</v>
      </c>
      <c r="T80" s="4">
        <v>-108856</v>
      </c>
      <c r="U80" s="4">
        <v>-90237</v>
      </c>
      <c r="V80" s="4">
        <v>-100116</v>
      </c>
      <c r="W80" s="4">
        <v>-3100</v>
      </c>
      <c r="X80" s="4">
        <v>-103448</v>
      </c>
    </row>
    <row r="81" spans="2:59" x14ac:dyDescent="0.25">
      <c r="F81" s="15"/>
      <c r="G81" s="22"/>
      <c r="H81" s="15"/>
    </row>
    <row r="82" spans="2:59" x14ac:dyDescent="0.25">
      <c r="D82" t="s">
        <v>75</v>
      </c>
      <c r="E82" t="s">
        <v>37</v>
      </c>
      <c r="F82" s="13">
        <f>SUM(I82:X82)</f>
        <v>-2564321</v>
      </c>
      <c r="G82" s="22">
        <v>0</v>
      </c>
      <c r="H82" s="13">
        <f>F82+G82</f>
        <v>-2564321</v>
      </c>
      <c r="I82" s="4">
        <v>-152212</v>
      </c>
      <c r="J82" s="4">
        <v>-147396</v>
      </c>
      <c r="K82" s="4">
        <v>-116509</v>
      </c>
      <c r="L82" s="4">
        <v>-102592</v>
      </c>
      <c r="M82" s="4">
        <v>-225679</v>
      </c>
      <c r="N82" s="4">
        <v>-212035</v>
      </c>
      <c r="O82" s="4">
        <v>-85387</v>
      </c>
      <c r="P82" s="4">
        <v>-185313</v>
      </c>
      <c r="Q82" s="4">
        <v>-200445</v>
      </c>
      <c r="R82" s="4">
        <v>-243088</v>
      </c>
      <c r="S82" s="4">
        <v>-205169</v>
      </c>
      <c r="T82" s="4">
        <v>-84159</v>
      </c>
      <c r="U82" s="4">
        <v>-62479</v>
      </c>
      <c r="V82" s="4">
        <v>-208818</v>
      </c>
      <c r="W82" s="4">
        <v>-230024</v>
      </c>
      <c r="X82" s="4">
        <v>-103016</v>
      </c>
    </row>
    <row r="83" spans="2:59" x14ac:dyDescent="0.25">
      <c r="F83" s="15"/>
      <c r="G83" s="22"/>
      <c r="H83" s="15"/>
    </row>
    <row r="84" spans="2:59" x14ac:dyDescent="0.25">
      <c r="D84" t="s">
        <v>76</v>
      </c>
      <c r="E84" t="s">
        <v>37</v>
      </c>
      <c r="F84" s="13">
        <f>SUM(I84:X84)</f>
        <v>-27077015</v>
      </c>
      <c r="G84" s="22">
        <v>0</v>
      </c>
      <c r="H84" s="13"/>
      <c r="I84" s="4">
        <v>-1762280</v>
      </c>
      <c r="J84" s="4">
        <v>-1842034</v>
      </c>
      <c r="K84" s="4">
        <v>-1741720</v>
      </c>
      <c r="L84" s="4">
        <v>-1770165</v>
      </c>
      <c r="M84" s="4">
        <v>-1940753</v>
      </c>
      <c r="N84" s="4">
        <v>-1847320</v>
      </c>
      <c r="O84" s="4">
        <v>-1758280</v>
      </c>
      <c r="P84" s="4">
        <v>-1827060</v>
      </c>
      <c r="Q84" s="4">
        <v>-1797543</v>
      </c>
      <c r="R84" s="4">
        <v>-1878588</v>
      </c>
      <c r="S84" s="4">
        <v>-1622720</v>
      </c>
      <c r="T84" s="4">
        <v>-1572164</v>
      </c>
      <c r="U84" s="4">
        <v>-1284800</v>
      </c>
      <c r="V84" s="4">
        <v>-1563920</v>
      </c>
      <c r="W84" s="4">
        <v>-1602886</v>
      </c>
      <c r="X84" s="4">
        <v>-1264782</v>
      </c>
    </row>
    <row r="85" spans="2:59" x14ac:dyDescent="0.25">
      <c r="D85" t="s">
        <v>77</v>
      </c>
      <c r="E85" t="s">
        <v>37</v>
      </c>
      <c r="F85" s="13">
        <f>SUM(I85:X85)</f>
        <v>-58548388</v>
      </c>
      <c r="G85" s="5">
        <v>0</v>
      </c>
      <c r="H85" s="13"/>
      <c r="I85" s="5">
        <f>-6304866-I84</f>
        <v>-4542586</v>
      </c>
      <c r="J85" s="5">
        <f>-6518135-J84</f>
        <v>-4676101</v>
      </c>
      <c r="K85" s="5">
        <f>-4647559-K84</f>
        <v>-2905839</v>
      </c>
      <c r="L85" s="5">
        <f>-4880233-L84</f>
        <v>-3110068</v>
      </c>
      <c r="M85" s="5">
        <f>-7021110-M84</f>
        <v>-5080357</v>
      </c>
      <c r="N85" s="5">
        <f>-5525362-N84</f>
        <v>-3678042</v>
      </c>
      <c r="O85" s="5">
        <f>-5566822-O84</f>
        <v>-3808542</v>
      </c>
      <c r="P85" s="5">
        <f>-5204181-P84</f>
        <v>-3377121</v>
      </c>
      <c r="Q85" s="5">
        <f>-7579424-Q84</f>
        <v>-5781881</v>
      </c>
      <c r="R85" s="5">
        <f>-9287257-R84</f>
        <v>-7408669</v>
      </c>
      <c r="S85" s="5">
        <f>-4303130-S84</f>
        <v>-2680410</v>
      </c>
      <c r="T85" s="5">
        <f>-5166926-T84</f>
        <v>-3594762</v>
      </c>
      <c r="U85" s="5">
        <f>-3362998-U84</f>
        <v>-2078198</v>
      </c>
      <c r="V85" s="5">
        <f>-2914941-V84</f>
        <v>-1351021</v>
      </c>
      <c r="W85" s="5">
        <f>-3974191-W84</f>
        <v>-2371305</v>
      </c>
      <c r="X85" s="5">
        <f>-3368268-X84</f>
        <v>-2103486</v>
      </c>
    </row>
    <row r="86" spans="2:59" x14ac:dyDescent="0.25">
      <c r="D86" s="1" t="s">
        <v>78</v>
      </c>
      <c r="E86" s="2" t="s">
        <v>37</v>
      </c>
      <c r="F86" s="14">
        <f>SUM(F84:F85)</f>
        <v>-85625403</v>
      </c>
      <c r="G86" s="23"/>
      <c r="H86" s="14">
        <f>F86+SUM(G84:G85)</f>
        <v>-85625403</v>
      </c>
      <c r="I86" s="3">
        <f>SUM(I84:I85)</f>
        <v>-6304866</v>
      </c>
      <c r="J86" s="3">
        <f t="shared" ref="J86:N86" si="12">SUM(J84:J85)</f>
        <v>-6518135</v>
      </c>
      <c r="K86" s="3">
        <f t="shared" si="12"/>
        <v>-4647559</v>
      </c>
      <c r="L86" s="3">
        <f t="shared" si="12"/>
        <v>-4880233</v>
      </c>
      <c r="M86" s="3">
        <f t="shared" si="12"/>
        <v>-7021110</v>
      </c>
      <c r="N86" s="3">
        <f t="shared" si="12"/>
        <v>-5525362</v>
      </c>
      <c r="O86" s="3">
        <f>SUM(O84:O85)</f>
        <v>-5566822</v>
      </c>
      <c r="P86" s="3">
        <f t="shared" ref="P86:X86" si="13">SUM(P84:P85)</f>
        <v>-5204181</v>
      </c>
      <c r="Q86" s="3">
        <f t="shared" si="13"/>
        <v>-7579424</v>
      </c>
      <c r="R86" s="3">
        <f t="shared" si="13"/>
        <v>-9287257</v>
      </c>
      <c r="S86" s="3">
        <f t="shared" si="13"/>
        <v>-4303130</v>
      </c>
      <c r="T86" s="3">
        <f t="shared" si="13"/>
        <v>-5166926</v>
      </c>
      <c r="U86" s="3">
        <f t="shared" si="13"/>
        <v>-3362998</v>
      </c>
      <c r="V86" s="3">
        <f t="shared" si="13"/>
        <v>-2914941</v>
      </c>
      <c r="W86" s="3">
        <f t="shared" si="13"/>
        <v>-3974191</v>
      </c>
      <c r="X86" s="3">
        <f t="shared" si="13"/>
        <v>-3368268</v>
      </c>
    </row>
    <row r="87" spans="2:59" ht="15.75" thickBot="1" x14ac:dyDescent="0.3">
      <c r="D87" s="18"/>
      <c r="F87" s="16"/>
      <c r="G87" s="21"/>
      <c r="H87" s="16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</row>
    <row r="88" spans="2:59" ht="15.75" thickBot="1" x14ac:dyDescent="0.3">
      <c r="D88" s="6" t="s">
        <v>79</v>
      </c>
      <c r="E88" s="7" t="s">
        <v>37</v>
      </c>
      <c r="F88" s="25">
        <f>F61+F67+F69+F71+F76+F78+F80+F82+F86</f>
        <v>-592585776</v>
      </c>
      <c r="G88" s="29">
        <f>SUM(G58:G86)</f>
        <v>0</v>
      </c>
      <c r="H88" s="25">
        <f>F88+G88</f>
        <v>-592585776</v>
      </c>
      <c r="I88" s="8">
        <f>I61+I67+I69+I71+I76+I78+I80+I82+I86</f>
        <v>-60823095</v>
      </c>
      <c r="J88" s="8">
        <f t="shared" ref="J88:X88" si="14">J61+J67+J69+J71+J76+J78+J80+J82+J86</f>
        <v>-65499901</v>
      </c>
      <c r="K88" s="8">
        <f t="shared" si="14"/>
        <v>-20851846</v>
      </c>
      <c r="L88" s="8">
        <f t="shared" si="14"/>
        <v>-38063226</v>
      </c>
      <c r="M88" s="8">
        <f t="shared" si="14"/>
        <v>-82107648</v>
      </c>
      <c r="N88" s="8">
        <f t="shared" si="14"/>
        <v>-31504263</v>
      </c>
      <c r="O88" s="8">
        <f t="shared" si="14"/>
        <v>-47088294</v>
      </c>
      <c r="P88" s="8">
        <f t="shared" si="14"/>
        <v>-43062987</v>
      </c>
      <c r="Q88" s="8">
        <f t="shared" si="14"/>
        <v>-43745727</v>
      </c>
      <c r="R88" s="8">
        <f t="shared" si="14"/>
        <v>-62300057</v>
      </c>
      <c r="S88" s="8">
        <f t="shared" si="14"/>
        <v>-27805911</v>
      </c>
      <c r="T88" s="8">
        <f t="shared" si="14"/>
        <v>-15728916</v>
      </c>
      <c r="U88" s="8">
        <f t="shared" si="14"/>
        <v>-13746554</v>
      </c>
      <c r="V88" s="8">
        <f t="shared" si="14"/>
        <v>-11826254</v>
      </c>
      <c r="W88" s="8">
        <f t="shared" si="14"/>
        <v>-18183656</v>
      </c>
      <c r="X88" s="26">
        <f t="shared" si="14"/>
        <v>-10247441</v>
      </c>
    </row>
    <row r="89" spans="2:59" x14ac:dyDescent="0.25">
      <c r="F89" s="15"/>
      <c r="G89" s="21"/>
      <c r="H89" s="15"/>
    </row>
    <row r="90" spans="2:59" x14ac:dyDescent="0.25">
      <c r="D90" s="11" t="s">
        <v>80</v>
      </c>
      <c r="E90" s="12" t="s">
        <v>37</v>
      </c>
      <c r="F90" s="12">
        <f>F56+F88</f>
        <v>374605034</v>
      </c>
      <c r="G90" s="12">
        <f>G56+G88</f>
        <v>-1</v>
      </c>
      <c r="H90" s="12"/>
      <c r="I90" s="12">
        <f t="shared" ref="I90:X90" si="15">I56+I88</f>
        <v>88884093</v>
      </c>
      <c r="J90" s="12">
        <f t="shared" si="15"/>
        <v>150466931</v>
      </c>
      <c r="K90" s="12">
        <f t="shared" si="15"/>
        <v>17373912</v>
      </c>
      <c r="L90" s="12">
        <f t="shared" si="15"/>
        <v>13149434</v>
      </c>
      <c r="M90" s="12">
        <f t="shared" si="15"/>
        <v>23429900</v>
      </c>
      <c r="N90" s="12">
        <f t="shared" si="15"/>
        <v>18045437</v>
      </c>
      <c r="O90" s="12">
        <f t="shared" si="15"/>
        <v>50885914</v>
      </c>
      <c r="P90" s="12">
        <f t="shared" si="15"/>
        <v>15897782</v>
      </c>
      <c r="Q90" s="12">
        <f t="shared" si="15"/>
        <v>4797496</v>
      </c>
      <c r="R90" s="12">
        <f t="shared" si="15"/>
        <v>-9764540</v>
      </c>
      <c r="S90" s="12">
        <f t="shared" si="15"/>
        <v>-873224</v>
      </c>
      <c r="T90" s="12">
        <f t="shared" si="15"/>
        <v>-5375561</v>
      </c>
      <c r="U90" s="12">
        <f t="shared" si="15"/>
        <v>-1464851</v>
      </c>
      <c r="V90" s="12">
        <f t="shared" si="15"/>
        <v>-2059455</v>
      </c>
      <c r="W90" s="12">
        <f t="shared" si="15"/>
        <v>15795848</v>
      </c>
      <c r="X90" s="12">
        <f t="shared" si="15"/>
        <v>-4584082</v>
      </c>
    </row>
    <row r="93" spans="2:59" x14ac:dyDescent="0.25">
      <c r="B93" s="42"/>
      <c r="C93" s="42"/>
      <c r="D93" s="42" t="str">
        <f>'2025 Data'!D92</f>
        <v>Contribution % or share of total</v>
      </c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</row>
    <row r="95" spans="2:59" x14ac:dyDescent="0.25">
      <c r="D95" s="31" t="str">
        <f t="shared" ref="D95:D114" si="16">D6</f>
        <v>Interest on short term loan me</v>
      </c>
      <c r="E95" s="31" t="str">
        <f>'2025 Data'!E94</f>
        <v>% of Totals</v>
      </c>
      <c r="F95" s="39">
        <f t="shared" ref="F95:F110" si="17">F6/$F6</f>
        <v>1</v>
      </c>
      <c r="I95" s="39">
        <f t="shared" ref="I95:X95" si="18">I6/$F6</f>
        <v>2.9756981442484634E-2</v>
      </c>
      <c r="J95" s="39">
        <f t="shared" si="18"/>
        <v>0.27190166770095814</v>
      </c>
      <c r="K95" s="39">
        <f t="shared" si="18"/>
        <v>6.4453229791599523E-2</v>
      </c>
      <c r="L95" s="39">
        <f t="shared" si="18"/>
        <v>5.0435072459104058E-2</v>
      </c>
      <c r="M95" s="39">
        <f t="shared" si="18"/>
        <v>0.11798604545943887</v>
      </c>
      <c r="N95" s="39">
        <f t="shared" si="18"/>
        <v>1.510738904565029E-2</v>
      </c>
      <c r="O95" s="39">
        <f t="shared" si="18"/>
        <v>4.6351169659353361E-2</v>
      </c>
      <c r="P95" s="39">
        <f t="shared" si="18"/>
        <v>4.2830526863937776E-2</v>
      </c>
      <c r="Q95" s="39">
        <f t="shared" si="18"/>
        <v>2.4236146650955599E-3</v>
      </c>
      <c r="R95" s="39">
        <f t="shared" si="18"/>
        <v>1.6736890050541209E-3</v>
      </c>
      <c r="S95" s="39">
        <f t="shared" si="18"/>
        <v>0.19419734340945941</v>
      </c>
      <c r="T95" s="39">
        <f t="shared" si="18"/>
        <v>1.1263705565839797E-3</v>
      </c>
      <c r="U95" s="39">
        <f t="shared" si="18"/>
        <v>6.0999118083239134E-3</v>
      </c>
      <c r="V95" s="39">
        <f t="shared" si="18"/>
        <v>1.2756731907317986E-3</v>
      </c>
      <c r="W95" s="39">
        <f t="shared" si="18"/>
        <v>0.15302493762492639</v>
      </c>
      <c r="X95" s="39">
        <f t="shared" si="18"/>
        <v>1.3563773172981873E-3</v>
      </c>
    </row>
    <row r="96" spans="2:59" x14ac:dyDescent="0.25">
      <c r="D96" s="31" t="str">
        <f t="shared" si="16"/>
        <v>Interest on short term loan Cu</v>
      </c>
      <c r="E96" s="31" t="str">
        <f>'2025 Data'!E95</f>
        <v>% of Totals</v>
      </c>
      <c r="F96" s="39">
        <f t="shared" si="17"/>
        <v>1</v>
      </c>
      <c r="I96" s="39">
        <f t="shared" ref="I96:X96" si="19">I7/$F7</f>
        <v>9.6260996530682444E-2</v>
      </c>
      <c r="J96" s="39">
        <f t="shared" si="19"/>
        <v>8.9776688749327177E-2</v>
      </c>
      <c r="K96" s="39">
        <f t="shared" si="19"/>
        <v>2.9579780113397566E-2</v>
      </c>
      <c r="L96" s="39">
        <f t="shared" si="19"/>
        <v>9.2562146095345729E-2</v>
      </c>
      <c r="M96" s="39">
        <f t="shared" si="19"/>
        <v>0.10182393161957234</v>
      </c>
      <c r="N96" s="39">
        <f t="shared" si="19"/>
        <v>8.2325746650232526E-2</v>
      </c>
      <c r="O96" s="39">
        <f t="shared" si="19"/>
        <v>8.3661022180582037E-2</v>
      </c>
      <c r="P96" s="39">
        <f t="shared" si="19"/>
        <v>0.10325287288335885</v>
      </c>
      <c r="Q96" s="39">
        <f t="shared" si="19"/>
        <v>4.8429215120475967E-2</v>
      </c>
      <c r="R96" s="39">
        <f t="shared" si="19"/>
        <v>9.4092123942486644E-2</v>
      </c>
      <c r="S96" s="39">
        <f t="shared" si="19"/>
        <v>3.7326214320788108E-2</v>
      </c>
      <c r="T96" s="39">
        <f t="shared" si="19"/>
        <v>1.9084973148635411E-2</v>
      </c>
      <c r="U96" s="39">
        <f t="shared" si="19"/>
        <v>2.6107698482550953E-2</v>
      </c>
      <c r="V96" s="39">
        <f t="shared" si="19"/>
        <v>1.4714750164795258E-2</v>
      </c>
      <c r="W96" s="39">
        <f t="shared" si="19"/>
        <v>6.5232465994345346E-2</v>
      </c>
      <c r="X96" s="39">
        <f t="shared" si="19"/>
        <v>1.576937400342366E-2</v>
      </c>
    </row>
    <row r="97" spans="4:24" x14ac:dyDescent="0.25">
      <c r="D97" s="31" t="str">
        <f t="shared" si="16"/>
        <v>Interest on medium term loan m</v>
      </c>
      <c r="E97" s="31" t="str">
        <f>'2025 Data'!E96</f>
        <v>% of Totals</v>
      </c>
      <c r="F97" s="39">
        <f t="shared" si="17"/>
        <v>1</v>
      </c>
      <c r="G97" s="20"/>
      <c r="I97" s="39">
        <f t="shared" ref="I97:X97" si="20">I8/$F8</f>
        <v>7.2418105419850026E-2</v>
      </c>
      <c r="J97" s="39">
        <f t="shared" si="20"/>
        <v>0.43907008104009182</v>
      </c>
      <c r="K97" s="39">
        <f t="shared" si="20"/>
        <v>4.8055877913976613E-2</v>
      </c>
      <c r="L97" s="39">
        <f t="shared" si="20"/>
        <v>2.8009365470687667E-2</v>
      </c>
      <c r="M97" s="39">
        <f t="shared" si="20"/>
        <v>0.19139826497361165</v>
      </c>
      <c r="N97" s="39">
        <f t="shared" si="20"/>
        <v>1.1325714959399619E-2</v>
      </c>
      <c r="O97" s="39">
        <f t="shared" si="20"/>
        <v>6.3148535940941705E-2</v>
      </c>
      <c r="P97" s="39">
        <f t="shared" si="20"/>
        <v>0.10100860865091028</v>
      </c>
      <c r="Q97" s="39">
        <f t="shared" si="20"/>
        <v>2.5641844546568482E-2</v>
      </c>
      <c r="R97" s="39">
        <f t="shared" si="20"/>
        <v>0</v>
      </c>
      <c r="S97" s="39">
        <f t="shared" si="20"/>
        <v>6.8995492678892443E-3</v>
      </c>
      <c r="T97" s="39">
        <f t="shared" si="20"/>
        <v>0</v>
      </c>
      <c r="U97" s="39">
        <f t="shared" si="20"/>
        <v>0</v>
      </c>
      <c r="V97" s="39">
        <f t="shared" si="20"/>
        <v>5.3175006602580429E-3</v>
      </c>
      <c r="W97" s="39">
        <f t="shared" si="20"/>
        <v>7.7065511558148643E-3</v>
      </c>
      <c r="X97" s="39">
        <f t="shared" si="20"/>
        <v>0</v>
      </c>
    </row>
    <row r="98" spans="4:24" x14ac:dyDescent="0.25">
      <c r="D98" s="31" t="str">
        <f t="shared" si="16"/>
        <v>Interest on medium term loan C</v>
      </c>
      <c r="E98" s="31" t="str">
        <f>'2025 Data'!E97</f>
        <v>% of Totals</v>
      </c>
      <c r="F98" s="39">
        <f t="shared" si="17"/>
        <v>1</v>
      </c>
      <c r="I98" s="39">
        <f t="shared" ref="I98:X98" si="21">I9/$F9</f>
        <v>0.15462806783560409</v>
      </c>
      <c r="J98" s="39">
        <f t="shared" si="21"/>
        <v>0.18396141314309863</v>
      </c>
      <c r="K98" s="39">
        <f t="shared" si="21"/>
        <v>1.260337082764818E-2</v>
      </c>
      <c r="L98" s="39">
        <f t="shared" si="21"/>
        <v>5.808600500267324E-2</v>
      </c>
      <c r="M98" s="39">
        <f t="shared" si="21"/>
        <v>7.90825714842818E-2</v>
      </c>
      <c r="N98" s="39">
        <f t="shared" si="21"/>
        <v>9.4129443231049797E-2</v>
      </c>
      <c r="O98" s="39">
        <f t="shared" si="21"/>
        <v>0.13199503775624963</v>
      </c>
      <c r="P98" s="39">
        <f t="shared" si="21"/>
        <v>3.6811477453859098E-2</v>
      </c>
      <c r="Q98" s="39">
        <f t="shared" si="21"/>
        <v>6.047172447334876E-2</v>
      </c>
      <c r="R98" s="39">
        <f t="shared" si="21"/>
        <v>7.1786714226343459E-2</v>
      </c>
      <c r="S98" s="39">
        <f t="shared" si="21"/>
        <v>4.0280692978761953E-2</v>
      </c>
      <c r="T98" s="39">
        <f t="shared" si="21"/>
        <v>8.4712502698568084E-3</v>
      </c>
      <c r="U98" s="39">
        <f t="shared" si="21"/>
        <v>2.4661390112313015E-2</v>
      </c>
      <c r="V98" s="39">
        <f t="shared" si="21"/>
        <v>1.3529443107524523E-2</v>
      </c>
      <c r="W98" s="39">
        <f t="shared" si="21"/>
        <v>2.6556038214778761E-2</v>
      </c>
      <c r="X98" s="39">
        <f t="shared" si="21"/>
        <v>2.9453598826082615E-3</v>
      </c>
    </row>
    <row r="99" spans="4:24" x14ac:dyDescent="0.25">
      <c r="D99" s="31" t="str">
        <f t="shared" si="16"/>
        <v>Interest on staff loan</v>
      </c>
      <c r="E99" s="31" t="str">
        <f>'2025 Data'!E98</f>
        <v>% of Totals</v>
      </c>
      <c r="F99" s="39">
        <f t="shared" si="17"/>
        <v>1</v>
      </c>
      <c r="I99" s="39">
        <f t="shared" ref="I99:X99" si="22">I10/$F10</f>
        <v>1</v>
      </c>
      <c r="J99" s="39">
        <f t="shared" si="22"/>
        <v>0</v>
      </c>
      <c r="K99" s="39">
        <f t="shared" si="22"/>
        <v>0</v>
      </c>
      <c r="L99" s="39">
        <f t="shared" si="22"/>
        <v>0</v>
      </c>
      <c r="M99" s="39">
        <f t="shared" si="22"/>
        <v>0</v>
      </c>
      <c r="N99" s="39">
        <f t="shared" si="22"/>
        <v>0</v>
      </c>
      <c r="O99" s="39">
        <f t="shared" si="22"/>
        <v>0</v>
      </c>
      <c r="P99" s="39">
        <f t="shared" si="22"/>
        <v>0</v>
      </c>
      <c r="Q99" s="39">
        <f t="shared" si="22"/>
        <v>0</v>
      </c>
      <c r="R99" s="39">
        <f t="shared" si="22"/>
        <v>0</v>
      </c>
      <c r="S99" s="39">
        <f t="shared" si="22"/>
        <v>0</v>
      </c>
      <c r="T99" s="39">
        <f t="shared" si="22"/>
        <v>0</v>
      </c>
      <c r="U99" s="39">
        <f t="shared" si="22"/>
        <v>0</v>
      </c>
      <c r="V99" s="39">
        <f t="shared" si="22"/>
        <v>0</v>
      </c>
      <c r="W99" s="39">
        <f t="shared" si="22"/>
        <v>0</v>
      </c>
      <c r="X99" s="39">
        <f t="shared" si="22"/>
        <v>0</v>
      </c>
    </row>
    <row r="100" spans="4:24" x14ac:dyDescent="0.25">
      <c r="D100" s="31" t="str">
        <f t="shared" si="16"/>
        <v>Interest on development loan soc</v>
      </c>
      <c r="E100" s="31" t="str">
        <f>'2025 Data'!E99</f>
        <v>% of Totals</v>
      </c>
      <c r="F100" s="39">
        <f t="shared" si="17"/>
        <v>1</v>
      </c>
      <c r="I100" s="39">
        <f t="shared" ref="I100:X100" si="23">I11/$F11</f>
        <v>0.33325407480899061</v>
      </c>
      <c r="J100" s="39">
        <f t="shared" si="23"/>
        <v>0</v>
      </c>
      <c r="K100" s="39">
        <f t="shared" si="23"/>
        <v>1.9370795985241425E-3</v>
      </c>
      <c r="L100" s="39">
        <f t="shared" si="23"/>
        <v>0.14227631682320463</v>
      </c>
      <c r="M100" s="39">
        <f t="shared" si="23"/>
        <v>0</v>
      </c>
      <c r="N100" s="39">
        <f t="shared" si="23"/>
        <v>0</v>
      </c>
      <c r="O100" s="39">
        <f t="shared" si="23"/>
        <v>0.15084362943894725</v>
      </c>
      <c r="P100" s="39">
        <f t="shared" si="23"/>
        <v>0</v>
      </c>
      <c r="Q100" s="39">
        <f t="shared" si="23"/>
        <v>0.33365172578723951</v>
      </c>
      <c r="R100" s="39">
        <f t="shared" si="23"/>
        <v>0</v>
      </c>
      <c r="S100" s="39">
        <f t="shared" si="23"/>
        <v>0</v>
      </c>
      <c r="T100" s="39">
        <f t="shared" si="23"/>
        <v>0</v>
      </c>
      <c r="U100" s="39">
        <f t="shared" si="23"/>
        <v>0</v>
      </c>
      <c r="V100" s="39">
        <f t="shared" si="23"/>
        <v>3.8037173543093911E-2</v>
      </c>
      <c r="W100" s="39">
        <f t="shared" si="23"/>
        <v>0</v>
      </c>
      <c r="X100" s="39">
        <f t="shared" si="23"/>
        <v>0</v>
      </c>
    </row>
    <row r="101" spans="4:24" x14ac:dyDescent="0.25">
      <c r="D101" s="31" t="str">
        <f t="shared" si="16"/>
        <v>Interest on overdraft members + society</v>
      </c>
      <c r="E101" s="31" t="str">
        <f>'2025 Data'!E100</f>
        <v>% of Totals</v>
      </c>
      <c r="F101" s="39">
        <f t="shared" si="17"/>
        <v>1</v>
      </c>
      <c r="I101" s="39">
        <f t="shared" ref="I101:X101" si="24">I12/$F12</f>
        <v>0.21051268094123562</v>
      </c>
      <c r="J101" s="39">
        <f t="shared" si="24"/>
        <v>2.1742874324318515E-2</v>
      </c>
      <c r="K101" s="39">
        <f t="shared" si="24"/>
        <v>9.5700470315925807E-5</v>
      </c>
      <c r="L101" s="39">
        <f t="shared" si="24"/>
        <v>3.7370666789096181E-2</v>
      </c>
      <c r="M101" s="39">
        <f t="shared" si="24"/>
        <v>8.0824602630788112E-2</v>
      </c>
      <c r="N101" s="39">
        <f t="shared" si="24"/>
        <v>6.9926331601815189E-3</v>
      </c>
      <c r="O101" s="39">
        <f t="shared" si="24"/>
        <v>0.23865731925687381</v>
      </c>
      <c r="P101" s="39">
        <f t="shared" si="24"/>
        <v>2.3167794580041074E-3</v>
      </c>
      <c r="Q101" s="39">
        <f t="shared" si="24"/>
        <v>0.12017756892084774</v>
      </c>
      <c r="R101" s="39">
        <f t="shared" si="24"/>
        <v>0.26405536455642414</v>
      </c>
      <c r="S101" s="39">
        <f t="shared" si="24"/>
        <v>4.890996325751823E-3</v>
      </c>
      <c r="T101" s="39">
        <f t="shared" si="24"/>
        <v>-1.1441604422053539E-3</v>
      </c>
      <c r="U101" s="39">
        <f t="shared" si="24"/>
        <v>1.0806763350346634E-2</v>
      </c>
      <c r="V101" s="39">
        <f t="shared" si="24"/>
        <v>1.0593612302824799E-3</v>
      </c>
      <c r="W101" s="39">
        <f t="shared" si="24"/>
        <v>2.7834895829566373E-4</v>
      </c>
      <c r="X101" s="39">
        <f t="shared" si="24"/>
        <v>1.3625000694431123E-3</v>
      </c>
    </row>
    <row r="102" spans="4:24" x14ac:dyDescent="0.25">
      <c r="D102" s="31" t="str">
        <f t="shared" si="16"/>
        <v>Interest on Overdue loan</v>
      </c>
      <c r="E102" s="31" t="str">
        <f>'2025 Data'!E101</f>
        <v>% of Totals</v>
      </c>
      <c r="F102" s="39">
        <f t="shared" si="17"/>
        <v>1</v>
      </c>
      <c r="I102" s="39">
        <f t="shared" ref="I102:X102" si="25">I13/$F13</f>
        <v>0.11349773146926002</v>
      </c>
      <c r="J102" s="39">
        <f t="shared" si="25"/>
        <v>0.19601740951517624</v>
      </c>
      <c r="K102" s="39">
        <f t="shared" si="25"/>
        <v>5.5232811205304766E-2</v>
      </c>
      <c r="L102" s="39">
        <f t="shared" si="25"/>
        <v>0.16084628373675106</v>
      </c>
      <c r="M102" s="39">
        <f t="shared" si="25"/>
        <v>0.26576790109184828</v>
      </c>
      <c r="N102" s="39">
        <f t="shared" si="25"/>
        <v>1.1362919452620256E-2</v>
      </c>
      <c r="O102" s="39">
        <f t="shared" si="25"/>
        <v>0.14326301175871842</v>
      </c>
      <c r="P102" s="39">
        <f t="shared" si="25"/>
        <v>5.4011931770321001E-2</v>
      </c>
      <c r="Q102" s="39">
        <f t="shared" si="25"/>
        <v>0</v>
      </c>
      <c r="R102" s="39">
        <f t="shared" si="25"/>
        <v>0</v>
      </c>
      <c r="S102" s="39">
        <f t="shared" si="25"/>
        <v>0</v>
      </c>
      <c r="T102" s="39">
        <f t="shared" si="25"/>
        <v>0</v>
      </c>
      <c r="U102" s="39">
        <f t="shared" si="25"/>
        <v>0</v>
      </c>
      <c r="V102" s="39">
        <f t="shared" si="25"/>
        <v>0</v>
      </c>
      <c r="W102" s="39">
        <f t="shared" si="25"/>
        <v>0</v>
      </c>
      <c r="X102" s="39">
        <f t="shared" si="25"/>
        <v>0</v>
      </c>
    </row>
    <row r="103" spans="4:24" x14ac:dyDescent="0.25">
      <c r="D103" s="31" t="str">
        <f t="shared" si="16"/>
        <v>Advance interest (crop + salary + staff + soko + mfi + raw)</v>
      </c>
      <c r="E103" s="31" t="str">
        <f>'2025 Data'!E102</f>
        <v>% of Totals</v>
      </c>
      <c r="F103" s="39">
        <f t="shared" si="17"/>
        <v>1</v>
      </c>
      <c r="I103" s="39">
        <f t="shared" ref="I103:X103" si="26">I14/$F14</f>
        <v>0.14690601127824565</v>
      </c>
      <c r="J103" s="39">
        <f t="shared" si="26"/>
        <v>0.17750375043452099</v>
      </c>
      <c r="K103" s="39">
        <f t="shared" si="26"/>
        <v>4.0037484131712035E-2</v>
      </c>
      <c r="L103" s="39">
        <f t="shared" si="26"/>
        <v>7.1797125596318956E-2</v>
      </c>
      <c r="M103" s="39">
        <f t="shared" si="26"/>
        <v>0.1071847299374251</v>
      </c>
      <c r="N103" s="39">
        <f t="shared" si="26"/>
        <v>5.0089241208000714E-2</v>
      </c>
      <c r="O103" s="39">
        <f t="shared" si="26"/>
        <v>0.10104414622366728</v>
      </c>
      <c r="P103" s="39">
        <f t="shared" si="26"/>
        <v>6.6406310354942932E-2</v>
      </c>
      <c r="Q103" s="39">
        <f t="shared" si="26"/>
        <v>4.4318329140093995E-2</v>
      </c>
      <c r="R103" s="39">
        <f t="shared" si="26"/>
        <v>5.8071011512777618E-2</v>
      </c>
      <c r="S103" s="39">
        <f t="shared" si="26"/>
        <v>2.630727196917846E-2</v>
      </c>
      <c r="T103" s="39">
        <f t="shared" si="26"/>
        <v>1.8845971541278095E-2</v>
      </c>
      <c r="U103" s="39">
        <f t="shared" si="26"/>
        <v>1.5327272311423433E-2</v>
      </c>
      <c r="V103" s="39">
        <f t="shared" si="26"/>
        <v>1.7338003075885181E-2</v>
      </c>
      <c r="W103" s="39">
        <f t="shared" si="26"/>
        <v>4.9468188412615195E-2</v>
      </c>
      <c r="X103" s="39">
        <f t="shared" si="26"/>
        <v>9.3551528719143743E-3</v>
      </c>
    </row>
    <row r="104" spans="4:24" x14ac:dyDescent="0.25">
      <c r="D104" s="31" t="str">
        <f t="shared" si="16"/>
        <v>Interest on shirika loan</v>
      </c>
      <c r="E104" s="31" t="str">
        <f>'2025 Data'!E103</f>
        <v>% of Totals</v>
      </c>
      <c r="F104" s="39">
        <f t="shared" si="17"/>
        <v>1</v>
      </c>
      <c r="I104" s="39">
        <f t="shared" ref="I104:X104" si="27">I15/$F15</f>
        <v>0</v>
      </c>
      <c r="J104" s="39">
        <f t="shared" si="27"/>
        <v>0</v>
      </c>
      <c r="K104" s="39">
        <f t="shared" si="27"/>
        <v>4.1181183676376326E-3</v>
      </c>
      <c r="L104" s="39">
        <f t="shared" si="27"/>
        <v>6.8555836478883275E-2</v>
      </c>
      <c r="M104" s="39">
        <f t="shared" si="27"/>
        <v>2.5832917883341643E-2</v>
      </c>
      <c r="N104" s="39">
        <f t="shared" si="27"/>
        <v>0.19093120148137596</v>
      </c>
      <c r="O104" s="39">
        <f t="shared" si="27"/>
        <v>0.26581368848372622</v>
      </c>
      <c r="P104" s="39">
        <f t="shared" si="27"/>
        <v>0.11824050993518981</v>
      </c>
      <c r="Q104" s="39">
        <f t="shared" si="27"/>
        <v>0</v>
      </c>
      <c r="R104" s="39">
        <f t="shared" si="27"/>
        <v>0</v>
      </c>
      <c r="S104" s="39">
        <f t="shared" si="27"/>
        <v>1.2312157253756855E-2</v>
      </c>
      <c r="T104" s="39">
        <f t="shared" si="27"/>
        <v>0</v>
      </c>
      <c r="U104" s="39">
        <f t="shared" si="27"/>
        <v>3.2925005341499893E-3</v>
      </c>
      <c r="V104" s="39">
        <f t="shared" si="27"/>
        <v>0</v>
      </c>
      <c r="W104" s="39">
        <f t="shared" si="27"/>
        <v>0.30863275407734492</v>
      </c>
      <c r="X104" s="39">
        <f t="shared" si="27"/>
        <v>2.2703155045936899E-3</v>
      </c>
    </row>
    <row r="105" spans="4:24" x14ac:dyDescent="0.25">
      <c r="D105" s="31" t="str">
        <f t="shared" si="16"/>
        <v>Interest on bonus advance loan</v>
      </c>
      <c r="E105" s="31" t="str">
        <f>'2025 Data'!E104</f>
        <v>% of Totals</v>
      </c>
      <c r="F105" s="39">
        <f t="shared" si="17"/>
        <v>1</v>
      </c>
      <c r="I105" s="39">
        <f t="shared" ref="I105:X105" si="28">I16/$F16</f>
        <v>0</v>
      </c>
      <c r="J105" s="39">
        <f t="shared" si="28"/>
        <v>0.50734204033193087</v>
      </c>
      <c r="K105" s="39">
        <f t="shared" si="28"/>
        <v>0.32135222586108525</v>
      </c>
      <c r="L105" s="39">
        <f t="shared" si="28"/>
        <v>9.6477669198354373E-3</v>
      </c>
      <c r="M105" s="39">
        <f t="shared" si="28"/>
        <v>5.7182504596837498E-2</v>
      </c>
      <c r="N105" s="39">
        <f t="shared" si="28"/>
        <v>0</v>
      </c>
      <c r="O105" s="39">
        <f t="shared" si="28"/>
        <v>0</v>
      </c>
      <c r="P105" s="39">
        <f t="shared" si="28"/>
        <v>0</v>
      </c>
      <c r="Q105" s="39">
        <f t="shared" si="28"/>
        <v>0</v>
      </c>
      <c r="R105" s="39">
        <f t="shared" si="28"/>
        <v>0</v>
      </c>
      <c r="S105" s="39">
        <f t="shared" si="28"/>
        <v>3.401452644437504E-2</v>
      </c>
      <c r="T105" s="39">
        <f t="shared" si="28"/>
        <v>0</v>
      </c>
      <c r="U105" s="39">
        <f t="shared" si="28"/>
        <v>0</v>
      </c>
      <c r="V105" s="39">
        <f t="shared" si="28"/>
        <v>0</v>
      </c>
      <c r="W105" s="39">
        <f t="shared" si="28"/>
        <v>7.0460935845935851E-2</v>
      </c>
      <c r="X105" s="39">
        <f t="shared" si="28"/>
        <v>0</v>
      </c>
    </row>
    <row r="106" spans="4:24" x14ac:dyDescent="0.25">
      <c r="D106" s="31" t="str">
        <f t="shared" si="16"/>
        <v>Interest on Premium Financing + penalty interest (raw + loan recovery)</v>
      </c>
      <c r="E106" s="31" t="str">
        <f>'2025 Data'!E105</f>
        <v>% of Totals</v>
      </c>
      <c r="F106" s="39">
        <f t="shared" si="17"/>
        <v>1</v>
      </c>
      <c r="I106" s="39">
        <f t="shared" ref="I106:X106" si="29">I17/$F17</f>
        <v>0.16184663738395413</v>
      </c>
      <c r="J106" s="39">
        <f t="shared" si="29"/>
        <v>0.12375051086153775</v>
      </c>
      <c r="K106" s="39">
        <f t="shared" si="29"/>
        <v>3.2110482054604692E-2</v>
      </c>
      <c r="L106" s="39">
        <f t="shared" si="29"/>
        <v>8.1868195362183566E-2</v>
      </c>
      <c r="M106" s="39">
        <f t="shared" si="29"/>
        <v>6.9015645215337887E-2</v>
      </c>
      <c r="N106" s="39">
        <f t="shared" si="29"/>
        <v>3.4263606959103549E-2</v>
      </c>
      <c r="O106" s="39">
        <f t="shared" si="29"/>
        <v>0.11153901565501603</v>
      </c>
      <c r="P106" s="39">
        <f t="shared" si="29"/>
        <v>5.7086499293859498E-2</v>
      </c>
      <c r="Q106" s="39">
        <f t="shared" si="29"/>
        <v>0.14616435757697091</v>
      </c>
      <c r="R106" s="39">
        <f t="shared" si="29"/>
        <v>6.6964269406301152E-2</v>
      </c>
      <c r="S106" s="39">
        <f t="shared" si="29"/>
        <v>6.7414032483265079E-2</v>
      </c>
      <c r="T106" s="39">
        <f t="shared" si="29"/>
        <v>1.7884230021738844E-2</v>
      </c>
      <c r="U106" s="39">
        <f t="shared" si="29"/>
        <v>7.8060801232251046E-3</v>
      </c>
      <c r="V106" s="39">
        <f t="shared" si="29"/>
        <v>3.4980483685975918E-3</v>
      </c>
      <c r="W106" s="39">
        <f t="shared" si="29"/>
        <v>1.4631911955491987E-2</v>
      </c>
      <c r="X106" s="39">
        <f t="shared" si="29"/>
        <v>4.1564772788122125E-3</v>
      </c>
    </row>
    <row r="107" spans="4:24" x14ac:dyDescent="0.25">
      <c r="D107" s="31" t="str">
        <f t="shared" si="16"/>
        <v>Interest on MFI loan</v>
      </c>
      <c r="E107" s="31" t="str">
        <f>'2025 Data'!E106</f>
        <v>% of Totals</v>
      </c>
      <c r="F107" s="39">
        <f t="shared" si="17"/>
        <v>1</v>
      </c>
      <c r="I107" s="39">
        <f t="shared" ref="I107:X107" si="30">I18/$F18</f>
        <v>4.6383489225619738E-2</v>
      </c>
      <c r="J107" s="39">
        <f t="shared" si="30"/>
        <v>8.5709399041331777E-2</v>
      </c>
      <c r="K107" s="39">
        <f t="shared" si="30"/>
        <v>5.5004614342742441E-3</v>
      </c>
      <c r="L107" s="39">
        <f t="shared" si="30"/>
        <v>0.11325753873354544</v>
      </c>
      <c r="M107" s="39">
        <f t="shared" si="30"/>
        <v>4.2123719719882255E-2</v>
      </c>
      <c r="N107" s="39">
        <f t="shared" si="30"/>
        <v>5.3798157071542257E-2</v>
      </c>
      <c r="O107" s="39">
        <f t="shared" si="30"/>
        <v>0.38480320766163245</v>
      </c>
      <c r="P107" s="39">
        <f t="shared" si="30"/>
        <v>0.1880856266070639</v>
      </c>
      <c r="Q107" s="39">
        <f t="shared" si="30"/>
        <v>6.7589833312850761E-2</v>
      </c>
      <c r="R107" s="39">
        <f t="shared" si="30"/>
        <v>8.9836631516523359E-3</v>
      </c>
      <c r="S107" s="39">
        <f t="shared" si="30"/>
        <v>3.6635974015475884E-3</v>
      </c>
      <c r="T107" s="39">
        <f t="shared" si="30"/>
        <v>0</v>
      </c>
      <c r="U107" s="39">
        <f t="shared" si="30"/>
        <v>0</v>
      </c>
      <c r="V107" s="39">
        <f t="shared" si="30"/>
        <v>0</v>
      </c>
      <c r="W107" s="39">
        <f t="shared" si="30"/>
        <v>1.0130663905723063E-4</v>
      </c>
      <c r="X107" s="39">
        <f t="shared" si="30"/>
        <v>0</v>
      </c>
    </row>
    <row r="108" spans="4:24" x14ac:dyDescent="0.25">
      <c r="D108" s="31" t="str">
        <f t="shared" si="16"/>
        <v>Interest on Jijenge Loan</v>
      </c>
      <c r="E108" s="31" t="str">
        <f>'2025 Data'!E107</f>
        <v>% of Totals</v>
      </c>
      <c r="F108" s="39">
        <f t="shared" si="17"/>
        <v>1</v>
      </c>
      <c r="I108" s="39">
        <f t="shared" ref="I108:X108" si="31">I19/$F19</f>
        <v>0.3384099178332956</v>
      </c>
      <c r="J108" s="39">
        <f t="shared" si="31"/>
        <v>0.10119594652995584</v>
      </c>
      <c r="K108" s="39">
        <f t="shared" si="31"/>
        <v>1.6999017528720808E-2</v>
      </c>
      <c r="L108" s="39">
        <f t="shared" si="31"/>
        <v>2.5959746876779988E-2</v>
      </c>
      <c r="M108" s="39">
        <f t="shared" si="31"/>
        <v>6.7446572302566163E-2</v>
      </c>
      <c r="N108" s="39">
        <f t="shared" si="31"/>
        <v>3.8053950684141739E-2</v>
      </c>
      <c r="O108" s="39">
        <f t="shared" si="31"/>
        <v>6.5131633679544221E-2</v>
      </c>
      <c r="P108" s="39">
        <f t="shared" si="31"/>
        <v>8.8099437002795572E-2</v>
      </c>
      <c r="Q108" s="39">
        <f t="shared" si="31"/>
        <v>8.8547352148871675E-2</v>
      </c>
      <c r="R108" s="39">
        <f t="shared" si="31"/>
        <v>9.0866537018333485E-2</v>
      </c>
      <c r="S108" s="39">
        <f t="shared" si="31"/>
        <v>1.3086819784344477E-3</v>
      </c>
      <c r="T108" s="39">
        <f t="shared" si="31"/>
        <v>3.5506793463522986E-2</v>
      </c>
      <c r="U108" s="39">
        <f t="shared" si="31"/>
        <v>8.1069784003261054E-5</v>
      </c>
      <c r="V108" s="39">
        <f t="shared" si="31"/>
        <v>9.562467165919358E-3</v>
      </c>
      <c r="W108" s="39">
        <f t="shared" si="31"/>
        <v>3.1291683503659032E-2</v>
      </c>
      <c r="X108" s="39">
        <f t="shared" si="31"/>
        <v>1.53919249945583E-3</v>
      </c>
    </row>
    <row r="109" spans="4:24" x14ac:dyDescent="0.25">
      <c r="D109" s="31" t="str">
        <f t="shared" si="16"/>
        <v xml:space="preserve">Interest on Soko loan </v>
      </c>
      <c r="E109" s="31" t="str">
        <f>'2025 Data'!E108</f>
        <v>% of Totals</v>
      </c>
      <c r="F109" s="39">
        <f t="shared" si="17"/>
        <v>1</v>
      </c>
      <c r="I109" s="39">
        <f t="shared" ref="I109:X109" si="32">I20/$F20</f>
        <v>0</v>
      </c>
      <c r="J109" s="39">
        <f t="shared" si="32"/>
        <v>0</v>
      </c>
      <c r="K109" s="39">
        <f t="shared" si="32"/>
        <v>0</v>
      </c>
      <c r="L109" s="39">
        <f t="shared" si="32"/>
        <v>0</v>
      </c>
      <c r="M109" s="39">
        <f t="shared" si="32"/>
        <v>0</v>
      </c>
      <c r="N109" s="39">
        <f t="shared" si="32"/>
        <v>0</v>
      </c>
      <c r="O109" s="39">
        <f t="shared" si="32"/>
        <v>0</v>
      </c>
      <c r="P109" s="39">
        <f t="shared" si="32"/>
        <v>0</v>
      </c>
      <c r="Q109" s="39">
        <f t="shared" si="32"/>
        <v>0</v>
      </c>
      <c r="R109" s="39">
        <f t="shared" si="32"/>
        <v>0</v>
      </c>
      <c r="S109" s="39">
        <f t="shared" si="32"/>
        <v>1</v>
      </c>
      <c r="T109" s="39">
        <f t="shared" si="32"/>
        <v>0</v>
      </c>
      <c r="U109" s="39">
        <f t="shared" si="32"/>
        <v>0</v>
      </c>
      <c r="V109" s="39">
        <f t="shared" si="32"/>
        <v>0</v>
      </c>
      <c r="W109" s="39">
        <f t="shared" si="32"/>
        <v>0</v>
      </c>
      <c r="X109" s="39">
        <f t="shared" si="32"/>
        <v>0</v>
      </c>
    </row>
    <row r="110" spans="4:24" x14ac:dyDescent="0.25">
      <c r="D110" s="31" t="str">
        <f t="shared" si="16"/>
        <v>Interest on Inuka loan</v>
      </c>
      <c r="E110" s="31" t="str">
        <f>'2025 Data'!E109</f>
        <v>% of Totals</v>
      </c>
      <c r="F110" s="39">
        <f t="shared" si="17"/>
        <v>1</v>
      </c>
      <c r="I110" s="39">
        <f t="shared" ref="I110:X110" si="33">I21/$F21</f>
        <v>4.8028949281771927E-2</v>
      </c>
      <c r="J110" s="39">
        <f t="shared" si="33"/>
        <v>0.44544009220122882</v>
      </c>
      <c r="K110" s="39">
        <f t="shared" si="33"/>
        <v>0.10885626581819322</v>
      </c>
      <c r="L110" s="39">
        <f t="shared" si="33"/>
        <v>6.2296888048328752E-2</v>
      </c>
      <c r="M110" s="39">
        <f t="shared" si="33"/>
        <v>0.11763547605223669</v>
      </c>
      <c r="N110" s="39">
        <f t="shared" si="33"/>
        <v>1.6148854819452611E-2</v>
      </c>
      <c r="O110" s="39">
        <f t="shared" si="33"/>
        <v>2.9910611402990634E-2</v>
      </c>
      <c r="P110" s="39">
        <f t="shared" si="33"/>
        <v>7.9354390005613826E-2</v>
      </c>
      <c r="Q110" s="39">
        <f t="shared" si="33"/>
        <v>1.0701594869796202E-2</v>
      </c>
      <c r="R110" s="39">
        <f t="shared" si="33"/>
        <v>1.2165490769921912E-3</v>
      </c>
      <c r="S110" s="39">
        <f t="shared" si="33"/>
        <v>4.3186370842185264E-3</v>
      </c>
      <c r="T110" s="39">
        <f t="shared" si="33"/>
        <v>9.8775784269996177E-3</v>
      </c>
      <c r="U110" s="39">
        <f t="shared" si="33"/>
        <v>2.8196805500217068E-3</v>
      </c>
      <c r="V110" s="39">
        <f t="shared" si="33"/>
        <v>2.5402665203213218E-2</v>
      </c>
      <c r="W110" s="39">
        <f t="shared" si="33"/>
        <v>2.9260524998666916E-2</v>
      </c>
      <c r="X110" s="39">
        <f t="shared" si="33"/>
        <v>8.7312421602751579E-3</v>
      </c>
    </row>
    <row r="111" spans="4:24" x14ac:dyDescent="0.25">
      <c r="D111" s="31" t="str">
        <f t="shared" si="16"/>
        <v>Interest on youthbiz loan</v>
      </c>
      <c r="E111" s="31" t="str">
        <f>'2025 Data'!E110</f>
        <v>% of Totals</v>
      </c>
      <c r="F111" s="135">
        <v>0</v>
      </c>
      <c r="I111" s="31">
        <v>0</v>
      </c>
      <c r="J111" s="31">
        <v>0</v>
      </c>
      <c r="K111" s="31">
        <v>0</v>
      </c>
      <c r="L111" s="31">
        <v>0</v>
      </c>
      <c r="M111" s="31">
        <v>0</v>
      </c>
      <c r="N111" s="31">
        <v>0</v>
      </c>
      <c r="O111" s="31">
        <v>0</v>
      </c>
      <c r="P111" s="31">
        <v>0</v>
      </c>
      <c r="Q111" s="31">
        <v>0</v>
      </c>
      <c r="R111" s="31">
        <v>0</v>
      </c>
      <c r="S111" s="31">
        <v>0</v>
      </c>
      <c r="T111" s="31">
        <v>0</v>
      </c>
      <c r="U111" s="31">
        <v>0</v>
      </c>
      <c r="V111" s="31">
        <v>0</v>
      </c>
      <c r="W111" s="31">
        <v>0</v>
      </c>
      <c r="X111" s="31">
        <v>0</v>
      </c>
    </row>
    <row r="112" spans="4:24" x14ac:dyDescent="0.25">
      <c r="D112" s="31" t="str">
        <f t="shared" si="16"/>
        <v>Interest on Kwamua Biashara</v>
      </c>
      <c r="E112" s="31" t="str">
        <f>'2025 Data'!E111</f>
        <v>% of Totals</v>
      </c>
      <c r="F112" s="39">
        <f>F23/$F23</f>
        <v>1</v>
      </c>
      <c r="I112" s="39">
        <f t="shared" ref="I112:X112" si="34">I23/$F23</f>
        <v>0.15400422493956975</v>
      </c>
      <c r="J112" s="39">
        <f t="shared" si="34"/>
        <v>3.134177335033566E-2</v>
      </c>
      <c r="K112" s="39">
        <f t="shared" si="34"/>
        <v>7.4661309553748154E-3</v>
      </c>
      <c r="L112" s="39">
        <f t="shared" si="34"/>
        <v>0.20226794637758772</v>
      </c>
      <c r="M112" s="39">
        <f t="shared" si="34"/>
        <v>1.8711778054575096E-2</v>
      </c>
      <c r="N112" s="39">
        <f t="shared" si="34"/>
        <v>5.6578242744672227E-2</v>
      </c>
      <c r="O112" s="39">
        <f t="shared" si="34"/>
        <v>0.21107375004807791</v>
      </c>
      <c r="P112" s="39">
        <f t="shared" si="34"/>
        <v>3.7090265183006746E-2</v>
      </c>
      <c r="Q112" s="39">
        <f t="shared" si="34"/>
        <v>3.1870482524786019E-2</v>
      </c>
      <c r="R112" s="39">
        <f t="shared" si="34"/>
        <v>0.1083344921344525</v>
      </c>
      <c r="S112" s="39">
        <f t="shared" si="34"/>
        <v>2.2298538727133402E-2</v>
      </c>
      <c r="T112" s="39">
        <f t="shared" si="34"/>
        <v>1.1768882787513351E-2</v>
      </c>
      <c r="U112" s="39">
        <f t="shared" si="34"/>
        <v>2.0680162015189664E-2</v>
      </c>
      <c r="V112" s="39">
        <f t="shared" si="34"/>
        <v>5.2169571559174302E-2</v>
      </c>
      <c r="W112" s="39">
        <f t="shared" si="34"/>
        <v>2.5147710159677865E-2</v>
      </c>
      <c r="X112" s="39">
        <f t="shared" si="34"/>
        <v>9.1960484388729936E-3</v>
      </c>
    </row>
    <row r="113" spans="4:24" x14ac:dyDescent="0.25">
      <c r="D113" s="31" t="str">
        <f t="shared" si="16"/>
        <v>Interest on Uni-Mobiloan</v>
      </c>
      <c r="E113" s="31" t="str">
        <f>'2025 Data'!E112</f>
        <v>% of Totals</v>
      </c>
      <c r="F113" s="39">
        <f>F24/$F24</f>
        <v>1</v>
      </c>
      <c r="I113" s="39">
        <f t="shared" ref="I113:X113" si="35">I24/$F24</f>
        <v>0.23784928631020444</v>
      </c>
      <c r="J113" s="39">
        <f t="shared" si="35"/>
        <v>0.10505733444419944</v>
      </c>
      <c r="K113" s="39">
        <f t="shared" si="35"/>
        <v>3.0977635105490602E-2</v>
      </c>
      <c r="L113" s="39">
        <f t="shared" si="35"/>
        <v>4.530570508550865E-2</v>
      </c>
      <c r="M113" s="39">
        <f t="shared" si="35"/>
        <v>6.7470836923188837E-2</v>
      </c>
      <c r="N113" s="39">
        <f t="shared" si="35"/>
        <v>3.3519068100032509E-2</v>
      </c>
      <c r="O113" s="39">
        <f t="shared" si="35"/>
        <v>9.2188625973807503E-2</v>
      </c>
      <c r="P113" s="39">
        <f t="shared" si="35"/>
        <v>4.7365278121923995E-2</v>
      </c>
      <c r="Q113" s="39">
        <f t="shared" si="35"/>
        <v>3.9623622120632786E-2</v>
      </c>
      <c r="R113" s="39">
        <f t="shared" si="35"/>
        <v>0.12585140669293038</v>
      </c>
      <c r="S113" s="39">
        <f t="shared" si="35"/>
        <v>2.7384819628231156E-2</v>
      </c>
      <c r="T113" s="39">
        <f t="shared" si="35"/>
        <v>2.6545276507909808E-2</v>
      </c>
      <c r="U113" s="39">
        <f t="shared" si="35"/>
        <v>1.5858399807227599E-2</v>
      </c>
      <c r="V113" s="39">
        <f t="shared" si="35"/>
        <v>1.3540172472192354E-2</v>
      </c>
      <c r="W113" s="39">
        <f t="shared" si="35"/>
        <v>3.6781834724946977E-2</v>
      </c>
      <c r="X113" s="39">
        <f t="shared" si="35"/>
        <v>5.4680697981572962E-2</v>
      </c>
    </row>
    <row r="114" spans="4:24" s="18" customFormat="1" x14ac:dyDescent="0.25">
      <c r="D114" s="19" t="str">
        <f t="shared" si="16"/>
        <v>Total interest on loan Portfolio</v>
      </c>
      <c r="E114" s="19" t="str">
        <f>'2025 Data'!E113</f>
        <v>% of Totals</v>
      </c>
      <c r="F114" s="64">
        <f>F25/$F25</f>
        <v>1</v>
      </c>
      <c r="I114" s="39">
        <f t="shared" ref="I114:X114" si="36">I25/$F25</f>
        <v>0.18548066295644089</v>
      </c>
      <c r="J114" s="39">
        <f t="shared" si="36"/>
        <v>0.18198024328862192</v>
      </c>
      <c r="K114" s="39">
        <f t="shared" si="36"/>
        <v>3.2637092448550245E-2</v>
      </c>
      <c r="L114" s="39">
        <f t="shared" si="36"/>
        <v>5.5220928837186052E-2</v>
      </c>
      <c r="M114" s="39">
        <f t="shared" si="36"/>
        <v>8.8486530572595409E-2</v>
      </c>
      <c r="N114" s="39">
        <f t="shared" si="36"/>
        <v>5.5335122713068161E-2</v>
      </c>
      <c r="O114" s="39">
        <f t="shared" si="36"/>
        <v>0.10277636870963797</v>
      </c>
      <c r="P114" s="39">
        <f t="shared" si="36"/>
        <v>6.1261444198629153E-2</v>
      </c>
      <c r="Q114" s="39">
        <f t="shared" si="36"/>
        <v>5.7920329390226358E-2</v>
      </c>
      <c r="R114" s="39">
        <f t="shared" si="36"/>
        <v>6.3787454411620162E-2</v>
      </c>
      <c r="S114" s="39">
        <f t="shared" si="36"/>
        <v>3.3035359345615321E-2</v>
      </c>
      <c r="T114" s="39">
        <f t="shared" si="36"/>
        <v>1.3421826837453459E-2</v>
      </c>
      <c r="U114" s="39">
        <f t="shared" si="36"/>
        <v>1.3018308072200096E-2</v>
      </c>
      <c r="V114" s="39">
        <f t="shared" si="36"/>
        <v>1.1525234914598803E-2</v>
      </c>
      <c r="W114" s="39">
        <f t="shared" si="36"/>
        <v>3.9099595622430157E-2</v>
      </c>
      <c r="X114" s="39">
        <f t="shared" si="36"/>
        <v>5.0134976811258558E-3</v>
      </c>
    </row>
    <row r="115" spans="4:24" x14ac:dyDescent="0.25">
      <c r="D115" s="31"/>
      <c r="E115" s="31">
        <f>'2025 Data'!E114</f>
        <v>0</v>
      </c>
      <c r="F115" s="31"/>
      <c r="G115" s="31"/>
      <c r="H115" s="31"/>
    </row>
    <row r="116" spans="4:24" x14ac:dyDescent="0.25">
      <c r="D116" s="31" t="str">
        <f t="shared" ref="D116:D122" si="37">D27</f>
        <v>Loan Processing fee</v>
      </c>
      <c r="E116" s="31" t="str">
        <f>'2025 Data'!E115</f>
        <v>% of Totals</v>
      </c>
      <c r="F116" s="39">
        <f t="shared" ref="F116:F122" si="38">F27/$F27</f>
        <v>1</v>
      </c>
      <c r="I116" s="39">
        <f t="shared" ref="I116:X116" si="39">I27/$F27</f>
        <v>0.2113235498695511</v>
      </c>
      <c r="J116" s="39">
        <f t="shared" si="39"/>
        <v>0.1515663019629569</v>
      </c>
      <c r="K116" s="39">
        <f t="shared" si="39"/>
        <v>6.959460778690825E-2</v>
      </c>
      <c r="L116" s="39">
        <f t="shared" si="39"/>
        <v>9.2589428880336014E-2</v>
      </c>
      <c r="M116" s="39">
        <f t="shared" si="39"/>
        <v>0.11978662026314313</v>
      </c>
      <c r="N116" s="39">
        <f t="shared" si="39"/>
        <v>4.4212596311310373E-2</v>
      </c>
      <c r="O116" s="39">
        <f t="shared" si="39"/>
        <v>6.7540098696975387E-2</v>
      </c>
      <c r="P116" s="39">
        <f t="shared" si="39"/>
        <v>5.5061118175228622E-2</v>
      </c>
      <c r="Q116" s="39">
        <f t="shared" si="39"/>
        <v>5.8787423213313844E-2</v>
      </c>
      <c r="R116" s="39">
        <f t="shared" si="39"/>
        <v>2.8383922448192631E-2</v>
      </c>
      <c r="S116" s="39">
        <f t="shared" si="39"/>
        <v>1.9082269444695283E-2</v>
      </c>
      <c r="T116" s="39">
        <f t="shared" si="39"/>
        <v>9.4267326273554629E-3</v>
      </c>
      <c r="U116" s="39">
        <f t="shared" si="39"/>
        <v>8.6487983814086521E-3</v>
      </c>
      <c r="V116" s="39">
        <f t="shared" si="39"/>
        <v>6.6505751222119443E-3</v>
      </c>
      <c r="W116" s="39">
        <f t="shared" si="39"/>
        <v>4.0826294299541904E-2</v>
      </c>
      <c r="X116" s="39">
        <f t="shared" si="39"/>
        <v>1.6519662516870495E-2</v>
      </c>
    </row>
    <row r="117" spans="4:24" x14ac:dyDescent="0.25">
      <c r="D117" s="31" t="str">
        <f t="shared" si="37"/>
        <v>Other loan recovey inome</v>
      </c>
      <c r="E117" s="31" t="str">
        <f>'2025 Data'!E116</f>
        <v>% of Totals</v>
      </c>
      <c r="F117" s="39">
        <f t="shared" si="38"/>
        <v>1</v>
      </c>
      <c r="I117" s="39">
        <f t="shared" ref="I117:X117" si="40">I28/$F28</f>
        <v>0.17641633235934609</v>
      </c>
      <c r="J117" s="39">
        <f t="shared" si="40"/>
        <v>2.1447305865824801E-3</v>
      </c>
      <c r="K117" s="39">
        <f t="shared" si="40"/>
        <v>0.10253753055951739</v>
      </c>
      <c r="L117" s="39">
        <f t="shared" si="40"/>
        <v>0.34014946341671876</v>
      </c>
      <c r="M117" s="39">
        <f t="shared" si="40"/>
        <v>1.3981257422868935E-2</v>
      </c>
      <c r="N117" s="39">
        <f t="shared" si="40"/>
        <v>9.1222719009132688E-2</v>
      </c>
      <c r="O117" s="39">
        <f t="shared" si="40"/>
        <v>4.1587652619527106E-2</v>
      </c>
      <c r="P117" s="39">
        <f t="shared" si="40"/>
        <v>4.0934173063465862E-2</v>
      </c>
      <c r="Q117" s="39">
        <f t="shared" si="40"/>
        <v>2.4314959340039067E-2</v>
      </c>
      <c r="R117" s="39">
        <f t="shared" si="40"/>
        <v>2.2257478067481114E-5</v>
      </c>
      <c r="S117" s="39">
        <f t="shared" si="40"/>
        <v>7.9907907458747984E-2</v>
      </c>
      <c r="T117" s="39">
        <f t="shared" si="40"/>
        <v>0</v>
      </c>
      <c r="U117" s="39">
        <f t="shared" si="40"/>
        <v>4.4514956134962223E-3</v>
      </c>
      <c r="V117" s="39">
        <f t="shared" si="40"/>
        <v>3.5611964907969781E-3</v>
      </c>
      <c r="W117" s="39">
        <f t="shared" si="40"/>
        <v>7.8768324581692958E-2</v>
      </c>
      <c r="X117" s="39">
        <f t="shared" si="40"/>
        <v>0</v>
      </c>
    </row>
    <row r="118" spans="4:24" x14ac:dyDescent="0.25">
      <c r="D118" s="31" t="str">
        <f t="shared" si="37"/>
        <v>Ledger fee on loans</v>
      </c>
      <c r="E118" s="31" t="str">
        <f>'2025 Data'!E117</f>
        <v>% of Totals</v>
      </c>
      <c r="F118" s="39">
        <f t="shared" si="38"/>
        <v>1</v>
      </c>
      <c r="I118" s="39">
        <f t="shared" ref="I118:X118" si="41">I29/$F29</f>
        <v>9.97055126880384E-2</v>
      </c>
      <c r="J118" s="39">
        <f t="shared" si="41"/>
        <v>0.24559654401811598</v>
      </c>
      <c r="K118" s="39">
        <f t="shared" si="41"/>
        <v>6.3085984078750976E-2</v>
      </c>
      <c r="L118" s="39">
        <f t="shared" si="41"/>
        <v>8.4438215217927937E-2</v>
      </c>
      <c r="M118" s="39">
        <f t="shared" si="41"/>
        <v>0.1415862621507383</v>
      </c>
      <c r="N118" s="39">
        <f t="shared" si="41"/>
        <v>6.8224161285744794E-2</v>
      </c>
      <c r="O118" s="39">
        <f t="shared" si="41"/>
        <v>5.0639993300798609E-2</v>
      </c>
      <c r="P118" s="39">
        <f t="shared" si="41"/>
        <v>7.5203003006371186E-2</v>
      </c>
      <c r="Q118" s="39">
        <f t="shared" si="41"/>
        <v>3.1114169010547536E-2</v>
      </c>
      <c r="R118" s="39">
        <f t="shared" si="41"/>
        <v>5.8097987606667532E-2</v>
      </c>
      <c r="S118" s="39">
        <f t="shared" si="41"/>
        <v>2.579154514779828E-2</v>
      </c>
      <c r="T118" s="39">
        <f t="shared" si="41"/>
        <v>-3.8062356752054556E-2</v>
      </c>
      <c r="U118" s="39">
        <f t="shared" si="41"/>
        <v>2.0721804731396527E-2</v>
      </c>
      <c r="V118" s="39">
        <f t="shared" si="41"/>
        <v>-3.9754171246149357E-3</v>
      </c>
      <c r="W118" s="39">
        <f t="shared" si="41"/>
        <v>6.3740315837689604E-2</v>
      </c>
      <c r="X118" s="39">
        <f t="shared" si="41"/>
        <v>1.4092275796083837E-2</v>
      </c>
    </row>
    <row r="119" spans="4:24" x14ac:dyDescent="0.25">
      <c r="D119" s="31" t="str">
        <f t="shared" si="37"/>
        <v>Ledger fee on MFI loan</v>
      </c>
      <c r="E119" s="31" t="str">
        <f>'2025 Data'!E118</f>
        <v>% of Totals</v>
      </c>
      <c r="F119" s="39">
        <f t="shared" si="38"/>
        <v>1</v>
      </c>
      <c r="I119" s="39">
        <f t="shared" ref="I119:X119" si="42">I30/$F30</f>
        <v>4.7651744026366384E-2</v>
      </c>
      <c r="J119" s="39">
        <f t="shared" si="42"/>
        <v>0.10010985992859105</v>
      </c>
      <c r="K119" s="39">
        <f t="shared" si="42"/>
        <v>5.9049711617687453E-3</v>
      </c>
      <c r="L119" s="39">
        <f t="shared" si="42"/>
        <v>0.11535292502059874</v>
      </c>
      <c r="M119" s="39">
        <f t="shared" si="42"/>
        <v>4.2570722329030489E-2</v>
      </c>
      <c r="N119" s="39">
        <f t="shared" si="42"/>
        <v>6.028563581433672E-2</v>
      </c>
      <c r="O119" s="39">
        <f t="shared" si="42"/>
        <v>0.34138972809667673</v>
      </c>
      <c r="P119" s="39">
        <f t="shared" si="42"/>
        <v>0.22026915682504805</v>
      </c>
      <c r="Q119" s="39">
        <f t="shared" si="42"/>
        <v>5.2458115902224663E-2</v>
      </c>
      <c r="R119" s="39">
        <f t="shared" si="42"/>
        <v>1.3320516341664378E-2</v>
      </c>
      <c r="S119" s="39">
        <f t="shared" si="42"/>
        <v>6.866245536940401E-4</v>
      </c>
      <c r="T119" s="39">
        <f t="shared" si="42"/>
        <v>0</v>
      </c>
      <c r="U119" s="39">
        <f t="shared" si="42"/>
        <v>0</v>
      </c>
      <c r="V119" s="39">
        <f t="shared" si="42"/>
        <v>0</v>
      </c>
      <c r="W119" s="39">
        <f t="shared" si="42"/>
        <v>0</v>
      </c>
      <c r="X119" s="39">
        <f t="shared" si="42"/>
        <v>0</v>
      </c>
    </row>
    <row r="120" spans="4:24" x14ac:dyDescent="0.25">
      <c r="D120" s="31" t="str">
        <f t="shared" si="37"/>
        <v>MFI loan procesing fee</v>
      </c>
      <c r="E120" s="31" t="str">
        <f>'2025 Data'!E119</f>
        <v>% of Totals</v>
      </c>
      <c r="F120" s="39">
        <f t="shared" si="38"/>
        <v>1</v>
      </c>
      <c r="I120" s="39">
        <f t="shared" ref="I120:X120" si="43">I31/$F31</f>
        <v>3.2582654528030663E-2</v>
      </c>
      <c r="J120" s="39">
        <f t="shared" si="43"/>
        <v>4.024916147580259E-2</v>
      </c>
      <c r="K120" s="39">
        <f t="shared" si="43"/>
        <v>1.9166267369429804E-3</v>
      </c>
      <c r="L120" s="39">
        <f t="shared" si="43"/>
        <v>8.241494968854815E-2</v>
      </c>
      <c r="M120" s="39">
        <f t="shared" si="43"/>
        <v>1.7249640632486823E-2</v>
      </c>
      <c r="N120" s="39">
        <f t="shared" si="43"/>
        <v>0.12458073790129372</v>
      </c>
      <c r="O120" s="39">
        <f t="shared" si="43"/>
        <v>0.42117872544321994</v>
      </c>
      <c r="P120" s="39">
        <f t="shared" si="43"/>
        <v>0.23382846190704359</v>
      </c>
      <c r="Q120" s="39">
        <f t="shared" si="43"/>
        <v>3.4499281264973647E-2</v>
      </c>
      <c r="R120" s="39">
        <f t="shared" si="43"/>
        <v>1.1499760421657882E-2</v>
      </c>
      <c r="S120" s="39">
        <f t="shared" si="43"/>
        <v>0</v>
      </c>
      <c r="T120" s="39">
        <f t="shared" si="43"/>
        <v>0</v>
      </c>
      <c r="U120" s="39">
        <f t="shared" si="43"/>
        <v>0</v>
      </c>
      <c r="V120" s="39">
        <f t="shared" si="43"/>
        <v>0</v>
      </c>
      <c r="W120" s="39">
        <f t="shared" si="43"/>
        <v>0</v>
      </c>
      <c r="X120" s="39">
        <f t="shared" si="43"/>
        <v>0</v>
      </c>
    </row>
    <row r="121" spans="4:24" x14ac:dyDescent="0.25">
      <c r="D121" s="31" t="str">
        <f t="shared" si="37"/>
        <v>MFI other incomes</v>
      </c>
      <c r="E121" s="31" t="str">
        <f>'2025 Data'!E120</f>
        <v>% of Totals</v>
      </c>
      <c r="F121" s="39">
        <f t="shared" si="38"/>
        <v>1</v>
      </c>
      <c r="I121" s="39">
        <f t="shared" ref="I121:X121" si="44">I32/$F32</f>
        <v>3.3763966644298135E-2</v>
      </c>
      <c r="J121" s="39">
        <f t="shared" si="44"/>
        <v>0.10593767157679367</v>
      </c>
      <c r="K121" s="39">
        <f t="shared" si="44"/>
        <v>5.2088954795234091E-4</v>
      </c>
      <c r="L121" s="39">
        <f t="shared" si="44"/>
        <v>9.5712281261585097E-2</v>
      </c>
      <c r="M121" s="39">
        <f t="shared" si="44"/>
        <v>4.1586695260843652E-2</v>
      </c>
      <c r="N121" s="39">
        <f t="shared" si="44"/>
        <v>0.13437542527581336</v>
      </c>
      <c r="O121" s="39">
        <f t="shared" si="44"/>
        <v>0.39121151400535908</v>
      </c>
      <c r="P121" s="39">
        <f t="shared" si="44"/>
        <v>0.11448776848102038</v>
      </c>
      <c r="Q121" s="39">
        <f t="shared" si="44"/>
        <v>1.4796078781024603E-2</v>
      </c>
      <c r="R121" s="39">
        <f t="shared" si="44"/>
        <v>1.5706462315283651E-2</v>
      </c>
      <c r="S121" s="39">
        <f t="shared" si="44"/>
        <v>4.0169500274522867E-2</v>
      </c>
      <c r="T121" s="39">
        <f t="shared" si="44"/>
        <v>0</v>
      </c>
      <c r="U121" s="39">
        <f t="shared" si="44"/>
        <v>0</v>
      </c>
      <c r="V121" s="39">
        <f t="shared" si="44"/>
        <v>0</v>
      </c>
      <c r="W121" s="39">
        <f t="shared" si="44"/>
        <v>0</v>
      </c>
      <c r="X121" s="39">
        <f t="shared" si="44"/>
        <v>1.1731746575503174E-2</v>
      </c>
    </row>
    <row r="122" spans="4:24" s="18" customFormat="1" x14ac:dyDescent="0.25">
      <c r="D122" s="19" t="str">
        <f t="shared" si="37"/>
        <v>Total fees and Commision on loan Portfolio</v>
      </c>
      <c r="E122" s="19" t="str">
        <f>'2025 Data'!E121</f>
        <v>% of Totals</v>
      </c>
      <c r="F122" s="64">
        <f t="shared" si="38"/>
        <v>1</v>
      </c>
      <c r="I122" s="39">
        <f t="shared" ref="I122:X122" si="45">I33/$F33</f>
        <v>0.11833144271746442</v>
      </c>
      <c r="J122" s="39">
        <f t="shared" si="45"/>
        <v>0.20052447010898164</v>
      </c>
      <c r="K122" s="39">
        <f t="shared" si="45"/>
        <v>5.8827552209630679E-2</v>
      </c>
      <c r="L122" s="39">
        <f t="shared" si="45"/>
        <v>9.8247345010632398E-2</v>
      </c>
      <c r="M122" s="39">
        <f t="shared" si="45"/>
        <v>0.12076370524923269</v>
      </c>
      <c r="N122" s="39">
        <f t="shared" si="45"/>
        <v>6.4134604864040962E-2</v>
      </c>
      <c r="O122" s="39">
        <f t="shared" si="45"/>
        <v>8.9454456900561016E-2</v>
      </c>
      <c r="P122" s="39">
        <f t="shared" si="45"/>
        <v>8.678467627113623E-2</v>
      </c>
      <c r="Q122" s="39">
        <f t="shared" si="45"/>
        <v>3.8639800771584527E-2</v>
      </c>
      <c r="R122" s="39">
        <f t="shared" si="45"/>
        <v>4.4760457085072626E-2</v>
      </c>
      <c r="S122" s="39">
        <f t="shared" si="45"/>
        <v>2.3546585795308606E-2</v>
      </c>
      <c r="T122" s="39">
        <f t="shared" si="45"/>
        <v>-2.2645169072778307E-2</v>
      </c>
      <c r="U122" s="39">
        <f t="shared" si="45"/>
        <v>1.5249752638934223E-2</v>
      </c>
      <c r="V122" s="39">
        <f t="shared" si="45"/>
        <v>-1.1044959216102036E-3</v>
      </c>
      <c r="W122" s="39">
        <f t="shared" si="45"/>
        <v>5.2004697784417582E-2</v>
      </c>
      <c r="X122" s="39">
        <f t="shared" si="45"/>
        <v>1.2480117587390926E-2</v>
      </c>
    </row>
    <row r="123" spans="4:24" x14ac:dyDescent="0.25">
      <c r="D123" s="31"/>
      <c r="E123" s="31">
        <f>'2025 Data'!E122</f>
        <v>0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spans="4:24" x14ac:dyDescent="0.25">
      <c r="D124" s="31" t="str">
        <f>D35</f>
        <v>Interest on treasury bonds</v>
      </c>
      <c r="E124" s="31" t="str">
        <f>'2025 Data'!E123</f>
        <v>% of Totals</v>
      </c>
      <c r="F124" s="39">
        <f>F35/$F35</f>
        <v>1</v>
      </c>
      <c r="I124" s="39">
        <f t="shared" ref="I124:X124" si="46">I35/$F35</f>
        <v>0.10306528498411072</v>
      </c>
      <c r="J124" s="39">
        <f t="shared" si="46"/>
        <v>0.26271394302381579</v>
      </c>
      <c r="K124" s="39">
        <f t="shared" si="46"/>
        <v>0.11813642101315665</v>
      </c>
      <c r="L124" s="39">
        <f t="shared" si="46"/>
        <v>6.0656333738496562E-2</v>
      </c>
      <c r="M124" s="39">
        <f t="shared" si="46"/>
        <v>3.72783925553693E-2</v>
      </c>
      <c r="N124" s="39">
        <f t="shared" si="46"/>
        <v>0.14066467790674311</v>
      </c>
      <c r="O124" s="39">
        <f t="shared" si="46"/>
        <v>0.13923275848642802</v>
      </c>
      <c r="P124" s="39">
        <f t="shared" si="46"/>
        <v>8.4386347265163572E-2</v>
      </c>
      <c r="Q124" s="39">
        <f t="shared" si="46"/>
        <v>3.1112945252788939E-2</v>
      </c>
      <c r="R124" s="39">
        <f t="shared" si="46"/>
        <v>2.2752895773927358E-2</v>
      </c>
      <c r="S124" s="39">
        <f t="shared" si="46"/>
        <v>0</v>
      </c>
      <c r="T124" s="39">
        <f t="shared" si="46"/>
        <v>0</v>
      </c>
      <c r="U124" s="39">
        <f t="shared" si="46"/>
        <v>0</v>
      </c>
      <c r="V124" s="39">
        <f t="shared" si="46"/>
        <v>0</v>
      </c>
      <c r="W124" s="39">
        <f t="shared" si="46"/>
        <v>0</v>
      </c>
      <c r="X124" s="39">
        <f t="shared" si="46"/>
        <v>0</v>
      </c>
    </row>
    <row r="125" spans="4:24" x14ac:dyDescent="0.25">
      <c r="D125" s="31" t="str">
        <f>D36</f>
        <v>Discount on infrastructure Bonds</v>
      </c>
      <c r="E125" s="31" t="str">
        <f>'2025 Data'!E124</f>
        <v>% of Totals</v>
      </c>
      <c r="F125" s="39">
        <f>F36/$F36</f>
        <v>1</v>
      </c>
      <c r="I125" s="39">
        <f t="shared" ref="I125:X125" si="47">I36/$F36</f>
        <v>4.8107295917496198E-2</v>
      </c>
      <c r="J125" s="39">
        <f t="shared" si="47"/>
        <v>0.15213345399286288</v>
      </c>
      <c r="K125" s="39">
        <f t="shared" si="47"/>
        <v>4.730479621629928E-2</v>
      </c>
      <c r="L125" s="39">
        <f t="shared" si="47"/>
        <v>0.11099253846022504</v>
      </c>
      <c r="M125" s="39">
        <f t="shared" si="47"/>
        <v>0.1065019550258678</v>
      </c>
      <c r="N125" s="39">
        <f t="shared" si="47"/>
        <v>5.3250977512933902E-2</v>
      </c>
      <c r="O125" s="39">
        <f t="shared" si="47"/>
        <v>0.35683490702955589</v>
      </c>
      <c r="P125" s="39">
        <f t="shared" si="47"/>
        <v>6.3137090853210856E-2</v>
      </c>
      <c r="Q125" s="39">
        <f t="shared" si="47"/>
        <v>6.1736984991548144E-2</v>
      </c>
      <c r="R125" s="39">
        <f t="shared" si="47"/>
        <v>0</v>
      </c>
      <c r="S125" s="39">
        <f t="shared" si="47"/>
        <v>0</v>
      </c>
      <c r="T125" s="39">
        <f t="shared" si="47"/>
        <v>0</v>
      </c>
      <c r="U125" s="39">
        <f t="shared" si="47"/>
        <v>0</v>
      </c>
      <c r="V125" s="39">
        <f t="shared" si="47"/>
        <v>0</v>
      </c>
      <c r="W125" s="39">
        <f t="shared" si="47"/>
        <v>0</v>
      </c>
      <c r="X125" s="39">
        <f t="shared" si="47"/>
        <v>0</v>
      </c>
    </row>
    <row r="126" spans="4:24" x14ac:dyDescent="0.25">
      <c r="D126" s="31" t="str">
        <f>D37</f>
        <v>Interest on corporate Bonds</v>
      </c>
      <c r="E126" s="31" t="str">
        <f>'2025 Data'!E125</f>
        <v>% of Totals</v>
      </c>
      <c r="F126" s="39">
        <f>F37/$F37</f>
        <v>1</v>
      </c>
      <c r="I126" s="39">
        <f t="shared" ref="I126:X126" si="48">I37/$F37</f>
        <v>0</v>
      </c>
      <c r="J126" s="39">
        <f t="shared" si="48"/>
        <v>0.12499971153823965</v>
      </c>
      <c r="K126" s="39">
        <f t="shared" si="48"/>
        <v>0</v>
      </c>
      <c r="L126" s="39">
        <f t="shared" si="48"/>
        <v>0</v>
      </c>
      <c r="M126" s="39">
        <f t="shared" si="48"/>
        <v>0.25000057692352073</v>
      </c>
      <c r="N126" s="39">
        <f t="shared" si="48"/>
        <v>0.12499971153823965</v>
      </c>
      <c r="O126" s="39">
        <f t="shared" si="48"/>
        <v>0.18750014423088018</v>
      </c>
      <c r="P126" s="39">
        <f t="shared" si="48"/>
        <v>0.18750014423088018</v>
      </c>
      <c r="Q126" s="39">
        <f t="shared" si="48"/>
        <v>0.12499971153823965</v>
      </c>
      <c r="R126" s="39">
        <f t="shared" si="48"/>
        <v>0</v>
      </c>
      <c r="S126" s="39">
        <f t="shared" si="48"/>
        <v>0</v>
      </c>
      <c r="T126" s="39">
        <f t="shared" si="48"/>
        <v>0</v>
      </c>
      <c r="U126" s="39">
        <f t="shared" si="48"/>
        <v>0</v>
      </c>
      <c r="V126" s="39">
        <f t="shared" si="48"/>
        <v>0</v>
      </c>
      <c r="W126" s="39">
        <f t="shared" si="48"/>
        <v>0</v>
      </c>
      <c r="X126" s="39">
        <f t="shared" si="48"/>
        <v>0</v>
      </c>
    </row>
    <row r="127" spans="4:24" s="18" customFormat="1" x14ac:dyDescent="0.25">
      <c r="D127" s="19" t="str">
        <f>D39</f>
        <v>Total Government Securities</v>
      </c>
      <c r="E127" s="19" t="str">
        <f>'2025 Data'!E126</f>
        <v>% of Totals</v>
      </c>
      <c r="F127" s="64">
        <f>F39/$F39</f>
        <v>1</v>
      </c>
      <c r="I127" s="39">
        <f t="shared" ref="I127:X127" si="49">I39/$F39</f>
        <v>5.7209171819712065E-2</v>
      </c>
      <c r="J127" s="39">
        <f t="shared" si="49"/>
        <v>0.20101949087283613</v>
      </c>
      <c r="K127" s="39">
        <f t="shared" si="49"/>
        <v>6.549727567328148E-2</v>
      </c>
      <c r="L127" s="39">
        <f t="shared" si="49"/>
        <v>3.4486938105766668E-2</v>
      </c>
      <c r="M127" s="39">
        <f t="shared" si="49"/>
        <v>0.13181431147202161</v>
      </c>
      <c r="N127" s="39">
        <f t="shared" si="49"/>
        <v>0.13285806869734285</v>
      </c>
      <c r="O127" s="39">
        <f t="shared" si="49"/>
        <v>0.16252417027529767</v>
      </c>
      <c r="P127" s="39">
        <f t="shared" si="49"/>
        <v>0.12942775413598567</v>
      </c>
      <c r="Q127" s="39">
        <f t="shared" si="49"/>
        <v>7.2638281256400747E-2</v>
      </c>
      <c r="R127" s="39">
        <f t="shared" si="49"/>
        <v>1.2524537691355139E-2</v>
      </c>
      <c r="S127" s="39">
        <f t="shared" si="49"/>
        <v>0</v>
      </c>
      <c r="T127" s="39">
        <f t="shared" si="49"/>
        <v>0</v>
      </c>
      <c r="U127" s="39">
        <f t="shared" si="49"/>
        <v>0</v>
      </c>
      <c r="V127" s="39">
        <f t="shared" si="49"/>
        <v>0</v>
      </c>
      <c r="W127" s="39">
        <f t="shared" si="49"/>
        <v>0</v>
      </c>
      <c r="X127" s="39">
        <f t="shared" si="49"/>
        <v>0</v>
      </c>
    </row>
    <row r="128" spans="4:24" x14ac:dyDescent="0.25">
      <c r="D128" s="31"/>
      <c r="E128" s="31">
        <f>'2025 Data'!E127</f>
        <v>0</v>
      </c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</row>
    <row r="129" spans="4:24" x14ac:dyDescent="0.25">
      <c r="D129" s="31" t="str">
        <f>D41</f>
        <v>Interest on fixed deposit</v>
      </c>
      <c r="E129" s="31" t="str">
        <f>'2025 Data'!E128</f>
        <v>% of Totals</v>
      </c>
      <c r="F129" s="39">
        <f>F41/$F41</f>
        <v>1</v>
      </c>
      <c r="I129" s="39">
        <f t="shared" ref="I129:X129" si="50">I41/$F41</f>
        <v>0</v>
      </c>
      <c r="J129" s="39">
        <f t="shared" si="50"/>
        <v>0.54205675780879747</v>
      </c>
      <c r="K129" s="39">
        <f t="shared" si="50"/>
        <v>7.6412439527783788E-2</v>
      </c>
      <c r="L129" s="39">
        <f t="shared" si="50"/>
        <v>0</v>
      </c>
      <c r="M129" s="39">
        <f t="shared" si="50"/>
        <v>0.273817625574095</v>
      </c>
      <c r="N129" s="39">
        <f t="shared" si="50"/>
        <v>0</v>
      </c>
      <c r="O129" s="39">
        <f t="shared" si="50"/>
        <v>0.10771317708932374</v>
      </c>
      <c r="P129" s="39">
        <f t="shared" si="50"/>
        <v>0</v>
      </c>
      <c r="Q129" s="39">
        <f t="shared" si="50"/>
        <v>0</v>
      </c>
      <c r="R129" s="39">
        <f t="shared" si="50"/>
        <v>0</v>
      </c>
      <c r="S129" s="39">
        <f t="shared" si="50"/>
        <v>0</v>
      </c>
      <c r="T129" s="39">
        <f t="shared" si="50"/>
        <v>0</v>
      </c>
      <c r="U129" s="39">
        <f t="shared" si="50"/>
        <v>0</v>
      </c>
      <c r="V129" s="39">
        <f t="shared" si="50"/>
        <v>0</v>
      </c>
      <c r="W129" s="39">
        <f t="shared" si="50"/>
        <v>0</v>
      </c>
      <c r="X129" s="39">
        <f t="shared" si="50"/>
        <v>0</v>
      </c>
    </row>
    <row r="130" spans="4:24" x14ac:dyDescent="0.25">
      <c r="D130" s="31" t="str">
        <f>D42</f>
        <v>Interest on call deposit</v>
      </c>
      <c r="E130" s="31" t="str">
        <f>'2025 Data'!E129</f>
        <v>% of Totals</v>
      </c>
      <c r="F130" s="39">
        <f>F42/$F42</f>
        <v>1</v>
      </c>
      <c r="I130" s="39">
        <f t="shared" ref="I130:X130" si="51">I42/$F42</f>
        <v>2.3442950057276986E-2</v>
      </c>
      <c r="J130" s="39">
        <f t="shared" si="51"/>
        <v>0.94353181731362668</v>
      </c>
      <c r="K130" s="39">
        <f t="shared" si="51"/>
        <v>0</v>
      </c>
      <c r="L130" s="39">
        <f t="shared" si="51"/>
        <v>0</v>
      </c>
      <c r="M130" s="39">
        <f t="shared" si="51"/>
        <v>3.3025232629096395E-2</v>
      </c>
      <c r="N130" s="39">
        <f t="shared" si="51"/>
        <v>0</v>
      </c>
      <c r="O130" s="39">
        <f t="shared" si="51"/>
        <v>0</v>
      </c>
      <c r="P130" s="39">
        <f t="shared" si="51"/>
        <v>0</v>
      </c>
      <c r="Q130" s="39">
        <f t="shared" si="51"/>
        <v>0</v>
      </c>
      <c r="R130" s="39">
        <f t="shared" si="51"/>
        <v>0</v>
      </c>
      <c r="S130" s="39">
        <f t="shared" si="51"/>
        <v>0</v>
      </c>
      <c r="T130" s="39">
        <f t="shared" si="51"/>
        <v>0</v>
      </c>
      <c r="U130" s="39">
        <f t="shared" si="51"/>
        <v>0</v>
      </c>
      <c r="V130" s="39">
        <f t="shared" si="51"/>
        <v>0</v>
      </c>
      <c r="W130" s="39">
        <f t="shared" si="51"/>
        <v>0</v>
      </c>
      <c r="X130" s="39">
        <f t="shared" si="51"/>
        <v>0</v>
      </c>
    </row>
    <row r="131" spans="4:24" s="18" customFormat="1" x14ac:dyDescent="0.25">
      <c r="D131" s="19" t="str">
        <f>D43</f>
        <v>Total deposit with bank</v>
      </c>
      <c r="E131" s="19" t="str">
        <f>'2025 Data'!E130</f>
        <v>% of Totals</v>
      </c>
      <c r="F131" s="64">
        <f>F43/$F43</f>
        <v>1</v>
      </c>
      <c r="I131" s="39">
        <f t="shared" ref="I131:X131" si="52">I43/$F43</f>
        <v>5.1999776001969613E-3</v>
      </c>
      <c r="J131" s="39">
        <f t="shared" si="52"/>
        <v>0.63110959933949973</v>
      </c>
      <c r="K131" s="39">
        <f t="shared" si="52"/>
        <v>5.946308063950085E-2</v>
      </c>
      <c r="L131" s="39">
        <f t="shared" si="52"/>
        <v>0</v>
      </c>
      <c r="M131" s="39">
        <f t="shared" si="52"/>
        <v>0.22040647012853087</v>
      </c>
      <c r="N131" s="39">
        <f t="shared" si="52"/>
        <v>0</v>
      </c>
      <c r="O131" s="39">
        <f t="shared" si="52"/>
        <v>8.3820872292271628E-2</v>
      </c>
      <c r="P131" s="39">
        <f t="shared" si="52"/>
        <v>0</v>
      </c>
      <c r="Q131" s="39">
        <f t="shared" si="52"/>
        <v>0</v>
      </c>
      <c r="R131" s="39">
        <f t="shared" si="52"/>
        <v>0</v>
      </c>
      <c r="S131" s="39">
        <f t="shared" si="52"/>
        <v>0</v>
      </c>
      <c r="T131" s="39">
        <f t="shared" si="52"/>
        <v>0</v>
      </c>
      <c r="U131" s="39">
        <f t="shared" si="52"/>
        <v>0</v>
      </c>
      <c r="V131" s="39">
        <f t="shared" si="52"/>
        <v>0</v>
      </c>
      <c r="W131" s="39">
        <f t="shared" si="52"/>
        <v>0</v>
      </c>
      <c r="X131" s="39">
        <f t="shared" si="52"/>
        <v>0</v>
      </c>
    </row>
    <row r="132" spans="4:24" x14ac:dyDescent="0.25">
      <c r="D132" s="31"/>
      <c r="E132" s="31">
        <f>'2025 Data'!E131</f>
        <v>0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</row>
    <row r="133" spans="4:24" s="18" customFormat="1" x14ac:dyDescent="0.25">
      <c r="D133" s="19" t="str">
        <f>CONCATENATE(D45, " (Bank + Govnt)")</f>
        <v>Interest Income From Financial Investment (Bank + Govnt)</v>
      </c>
      <c r="E133" s="19" t="str">
        <f>'2025 Data'!E132</f>
        <v>% of Totals</v>
      </c>
      <c r="F133" s="64">
        <f>F45/$F45</f>
        <v>1</v>
      </c>
      <c r="I133" s="39">
        <f t="shared" ref="I133:X133" si="53">I45/$F45</f>
        <v>1.6453961939669137E-2</v>
      </c>
      <c r="J133" s="39">
        <f t="shared" si="53"/>
        <v>0.5380447592111065</v>
      </c>
      <c r="K133" s="39">
        <f t="shared" si="53"/>
        <v>6.0768787013740486E-2</v>
      </c>
      <c r="L133" s="39">
        <f t="shared" si="53"/>
        <v>7.4624394240857903E-3</v>
      </c>
      <c r="M133" s="39">
        <f t="shared" si="53"/>
        <v>0.20123649872093147</v>
      </c>
      <c r="N133" s="39">
        <f t="shared" si="53"/>
        <v>2.8748428944730436E-2</v>
      </c>
      <c r="O133" s="39">
        <f t="shared" si="53"/>
        <v>0.10085104736530595</v>
      </c>
      <c r="P133" s="39">
        <f t="shared" si="53"/>
        <v>2.8006161987275988E-2</v>
      </c>
      <c r="Q133" s="39">
        <f t="shared" si="53"/>
        <v>1.5717799361693915E-2</v>
      </c>
      <c r="R133" s="39">
        <f t="shared" si="53"/>
        <v>2.7101160314602904E-3</v>
      </c>
      <c r="S133" s="39">
        <f t="shared" si="53"/>
        <v>0</v>
      </c>
      <c r="T133" s="39">
        <f t="shared" si="53"/>
        <v>0</v>
      </c>
      <c r="U133" s="39">
        <f t="shared" si="53"/>
        <v>0</v>
      </c>
      <c r="V133" s="39">
        <f t="shared" si="53"/>
        <v>0</v>
      </c>
      <c r="W133" s="39">
        <f t="shared" si="53"/>
        <v>0</v>
      </c>
      <c r="X133" s="39">
        <f t="shared" si="53"/>
        <v>0</v>
      </c>
    </row>
    <row r="134" spans="4:24" x14ac:dyDescent="0.25">
      <c r="D134" s="31"/>
      <c r="E134" s="31">
        <f>'2025 Data'!E133</f>
        <v>0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</row>
    <row r="135" spans="4:24" x14ac:dyDescent="0.25">
      <c r="D135" s="31" t="str">
        <f t="shared" ref="D135:D140" si="54">D47</f>
        <v>Salary Processiong Charges</v>
      </c>
      <c r="E135" s="31" t="str">
        <f>'2025 Data'!E134</f>
        <v>% of Totals</v>
      </c>
      <c r="F135" s="39">
        <f t="shared" ref="F135:F140" si="55">F47/$F47</f>
        <v>1</v>
      </c>
      <c r="I135" s="39">
        <f t="shared" ref="I135:X135" si="56">I47/$F47</f>
        <v>0.1129891140577606</v>
      </c>
      <c r="J135" s="39">
        <f t="shared" si="56"/>
        <v>0.21003153824993656</v>
      </c>
      <c r="K135" s="39">
        <f t="shared" si="56"/>
        <v>0.12502917877863579</v>
      </c>
      <c r="L135" s="39">
        <f t="shared" si="56"/>
        <v>8.5701268330565239E-2</v>
      </c>
      <c r="M135" s="39">
        <f t="shared" si="56"/>
        <v>0.19628086917375667</v>
      </c>
      <c r="N135" s="39">
        <f t="shared" si="56"/>
        <v>2.2525375543835682E-2</v>
      </c>
      <c r="O135" s="39">
        <f t="shared" si="56"/>
        <v>0.10100550688066445</v>
      </c>
      <c r="P135" s="39">
        <f t="shared" si="56"/>
        <v>6.6656421399106769E-2</v>
      </c>
      <c r="Q135" s="39">
        <f t="shared" si="56"/>
        <v>1.6448688235619836E-2</v>
      </c>
      <c r="R135" s="39">
        <f t="shared" si="56"/>
        <v>1.2075301334737271E-2</v>
      </c>
      <c r="S135" s="39">
        <f t="shared" si="56"/>
        <v>2.3015332269917988E-3</v>
      </c>
      <c r="T135" s="39">
        <f t="shared" si="56"/>
        <v>3.7013249855130138E-3</v>
      </c>
      <c r="U135" s="39">
        <f t="shared" si="56"/>
        <v>4.9252297807226503E-3</v>
      </c>
      <c r="V135" s="39">
        <f t="shared" si="56"/>
        <v>8.8737045732683196E-3</v>
      </c>
      <c r="W135" s="39">
        <f t="shared" si="56"/>
        <v>1.145416965116838E-2</v>
      </c>
      <c r="X135" s="39">
        <f t="shared" si="56"/>
        <v>2.0000775797716964E-2</v>
      </c>
    </row>
    <row r="136" spans="4:24" x14ac:dyDescent="0.25">
      <c r="D136" s="31" t="str">
        <f t="shared" si="54"/>
        <v>Withdrawal transaction charge</v>
      </c>
      <c r="E136" s="31" t="str">
        <f>'2025 Data'!E135</f>
        <v>% of Totals</v>
      </c>
      <c r="F136" s="39">
        <f t="shared" si="55"/>
        <v>1</v>
      </c>
      <c r="I136" s="39">
        <f t="shared" ref="I136:X136" si="57">I48/$F48</f>
        <v>8.1762235376106676E-2</v>
      </c>
      <c r="J136" s="39">
        <f t="shared" si="57"/>
        <v>0.16367713381441873</v>
      </c>
      <c r="K136" s="39">
        <f t="shared" si="57"/>
        <v>6.529684614267918E-2</v>
      </c>
      <c r="L136" s="39">
        <f t="shared" si="57"/>
        <v>7.9123178222009302E-2</v>
      </c>
      <c r="M136" s="39">
        <f t="shared" si="57"/>
        <v>0.17776409320918735</v>
      </c>
      <c r="N136" s="39">
        <f t="shared" si="57"/>
        <v>4.8524486102581102E-2</v>
      </c>
      <c r="O136" s="39">
        <f t="shared" si="57"/>
        <v>7.279937493302488E-2</v>
      </c>
      <c r="P136" s="39">
        <f t="shared" si="57"/>
        <v>9.0985101810217697E-2</v>
      </c>
      <c r="Q136" s="39">
        <f t="shared" si="57"/>
        <v>2.9103566299773384E-2</v>
      </c>
      <c r="R136" s="39">
        <f t="shared" si="57"/>
        <v>3.7358518949736609E-2</v>
      </c>
      <c r="S136" s="39">
        <f t="shared" si="57"/>
        <v>2.9078128547488265E-2</v>
      </c>
      <c r="T136" s="39">
        <f t="shared" si="57"/>
        <v>8.7677280300785341E-3</v>
      </c>
      <c r="U136" s="39">
        <f t="shared" si="57"/>
        <v>2.7211852764535447E-2</v>
      </c>
      <c r="V136" s="39">
        <f t="shared" si="57"/>
        <v>1.9008872073982341E-2</v>
      </c>
      <c r="W136" s="39">
        <f t="shared" si="57"/>
        <v>5.2366463861506347E-2</v>
      </c>
      <c r="X136" s="39">
        <f t="shared" si="57"/>
        <v>1.7172419862674149E-2</v>
      </c>
    </row>
    <row r="137" spans="4:24" x14ac:dyDescent="0.25">
      <c r="D137" s="31" t="str">
        <f t="shared" si="54"/>
        <v>Mobile Banking cash withdrawal and notification charge</v>
      </c>
      <c r="E137" s="31" t="str">
        <f>'2025 Data'!E136</f>
        <v>% of Totals</v>
      </c>
      <c r="F137" s="39">
        <f t="shared" si="55"/>
        <v>1</v>
      </c>
      <c r="I137" s="39">
        <f t="shared" ref="I137:X137" si="58">I49/$F49</f>
        <v>9.0886770471497749E-2</v>
      </c>
      <c r="J137" s="39">
        <f t="shared" si="58"/>
        <v>6.4736452448320603E-2</v>
      </c>
      <c r="K137" s="39">
        <f t="shared" si="58"/>
        <v>1.2468239848168933E-2</v>
      </c>
      <c r="L137" s="39">
        <f t="shared" si="58"/>
        <v>5.3672278746754482E-2</v>
      </c>
      <c r="M137" s="39">
        <f t="shared" si="58"/>
        <v>9.195027491000568E-2</v>
      </c>
      <c r="N137" s="39">
        <f t="shared" si="58"/>
        <v>4.7901675475806371E-2</v>
      </c>
      <c r="O137" s="39">
        <f t="shared" si="58"/>
        <v>0.13837703015249569</v>
      </c>
      <c r="P137" s="39">
        <f t="shared" si="58"/>
        <v>0.12096902821540659</v>
      </c>
      <c r="Q137" s="39">
        <f t="shared" si="58"/>
        <v>4.5780365731852249E-2</v>
      </c>
      <c r="R137" s="39">
        <f t="shared" si="58"/>
        <v>0.12282994919068844</v>
      </c>
      <c r="S137" s="39">
        <f t="shared" si="58"/>
        <v>2.7909501771775751E-2</v>
      </c>
      <c r="T137" s="39">
        <f t="shared" si="58"/>
        <v>3.0576542014047439E-2</v>
      </c>
      <c r="U137" s="39">
        <f t="shared" si="58"/>
        <v>3.8067744362459931E-2</v>
      </c>
      <c r="V137" s="39">
        <f t="shared" si="58"/>
        <v>1.8457797650124213E-2</v>
      </c>
      <c r="W137" s="39">
        <f t="shared" si="58"/>
        <v>5.6841073744394344E-2</v>
      </c>
      <c r="X137" s="39">
        <f t="shared" si="58"/>
        <v>3.8575275266201497E-2</v>
      </c>
    </row>
    <row r="138" spans="4:24" x14ac:dyDescent="0.25">
      <c r="D138" s="31" t="str">
        <f t="shared" si="54"/>
        <v>Ledger fee on charging customers</v>
      </c>
      <c r="E138" s="31" t="str">
        <f>'2025 Data'!E137</f>
        <v>% of Totals</v>
      </c>
      <c r="F138" s="39">
        <f t="shared" si="55"/>
        <v>1</v>
      </c>
      <c r="I138" s="39">
        <f t="shared" ref="I138:X138" si="59">I50/$F50</f>
        <v>6.4454581713575723E-2</v>
      </c>
      <c r="J138" s="39">
        <f t="shared" si="59"/>
        <v>0.24030150580029094</v>
      </c>
      <c r="K138" s="39">
        <f t="shared" si="59"/>
        <v>6.0007746491924661E-2</v>
      </c>
      <c r="L138" s="39">
        <f t="shared" si="59"/>
        <v>8.6606527268227818E-2</v>
      </c>
      <c r="M138" s="39">
        <f t="shared" si="59"/>
        <v>0.21300251940088188</v>
      </c>
      <c r="N138" s="39">
        <f t="shared" si="59"/>
        <v>4.2443502703874536E-2</v>
      </c>
      <c r="O138" s="39">
        <f t="shared" si="59"/>
        <v>0.10814976426462602</v>
      </c>
      <c r="P138" s="39">
        <f t="shared" si="59"/>
        <v>9.0282217440321721E-2</v>
      </c>
      <c r="Q138" s="39">
        <f t="shared" si="59"/>
        <v>3.0638668201429346E-2</v>
      </c>
      <c r="R138" s="39">
        <f t="shared" si="59"/>
        <v>1.7438406122687676E-2</v>
      </c>
      <c r="S138" s="39">
        <f t="shared" si="59"/>
        <v>1.0155706979520699E-2</v>
      </c>
      <c r="T138" s="39">
        <f t="shared" si="59"/>
        <v>5.9543953710427906E-3</v>
      </c>
      <c r="U138" s="39">
        <f t="shared" si="59"/>
        <v>8.5671621940046142E-3</v>
      </c>
      <c r="V138" s="39">
        <f t="shared" si="59"/>
        <v>9.4549562675177948E-3</v>
      </c>
      <c r="W138" s="39">
        <f t="shared" si="59"/>
        <v>8.9752001683234515E-3</v>
      </c>
      <c r="X138" s="39">
        <f t="shared" si="59"/>
        <v>3.5671396117503101E-3</v>
      </c>
    </row>
    <row r="139" spans="4:24" x14ac:dyDescent="0.25">
      <c r="D139" s="31" t="str">
        <f t="shared" si="54"/>
        <v xml:space="preserve">Other Operating Income </v>
      </c>
      <c r="E139" s="31" t="str">
        <f>'2025 Data'!E138</f>
        <v>% of Totals</v>
      </c>
      <c r="F139" s="39">
        <f t="shared" si="55"/>
        <v>1</v>
      </c>
      <c r="I139" s="39">
        <f t="shared" ref="I139:X139" si="60">I51/$F51</f>
        <v>7.8535844857328382E-2</v>
      </c>
      <c r="J139" s="39">
        <f t="shared" si="60"/>
        <v>0.23769099703009972</v>
      </c>
      <c r="K139" s="39">
        <f t="shared" si="60"/>
        <v>6.5262322729111033E-2</v>
      </c>
      <c r="L139" s="39">
        <f t="shared" si="60"/>
        <v>6.6527755692639079E-2</v>
      </c>
      <c r="M139" s="39">
        <f t="shared" si="60"/>
        <v>0.14443090428343336</v>
      </c>
      <c r="N139" s="39">
        <f t="shared" si="60"/>
        <v>3.2414555175792246E-2</v>
      </c>
      <c r="O139" s="39">
        <f t="shared" si="60"/>
        <v>8.3459102386379588E-2</v>
      </c>
      <c r="P139" s="39">
        <f t="shared" si="60"/>
        <v>8.1455813530190865E-2</v>
      </c>
      <c r="Q139" s="39">
        <f t="shared" si="60"/>
        <v>3.7191292718267981E-2</v>
      </c>
      <c r="R139" s="39">
        <f t="shared" si="60"/>
        <v>3.2298681477799615E-2</v>
      </c>
      <c r="S139" s="39">
        <f t="shared" si="60"/>
        <v>2.0338461977598532E-2</v>
      </c>
      <c r="T139" s="39">
        <f t="shared" si="60"/>
        <v>1.8141915523222508E-2</v>
      </c>
      <c r="U139" s="39">
        <f t="shared" si="60"/>
        <v>3.1932907107339273E-2</v>
      </c>
      <c r="V139" s="39">
        <f t="shared" si="60"/>
        <v>1.3618676964143074E-2</v>
      </c>
      <c r="W139" s="39">
        <f t="shared" si="60"/>
        <v>4.2891461964216053E-2</v>
      </c>
      <c r="X139" s="39">
        <f t="shared" si="60"/>
        <v>1.3809306582438698E-2</v>
      </c>
    </row>
    <row r="140" spans="4:24" s="18" customFormat="1" x14ac:dyDescent="0.25">
      <c r="D140" s="19" t="str">
        <f t="shared" si="54"/>
        <v>Total other operating income</v>
      </c>
      <c r="E140" s="19" t="str">
        <f>'2025 Data'!E139</f>
        <v>% of Totals</v>
      </c>
      <c r="F140" s="64">
        <f t="shared" si="55"/>
        <v>1</v>
      </c>
      <c r="I140" s="39">
        <f t="shared" ref="I140:X140" si="61">I52/$F52</f>
        <v>8.3270281070017063E-2</v>
      </c>
      <c r="J140" s="39">
        <f t="shared" si="61"/>
        <v>0.18638632140567318</v>
      </c>
      <c r="K140" s="39">
        <f t="shared" si="61"/>
        <v>6.3598463259722612E-2</v>
      </c>
      <c r="L140" s="39">
        <f t="shared" si="61"/>
        <v>7.3680389844185776E-2</v>
      </c>
      <c r="M140" s="39">
        <f t="shared" si="61"/>
        <v>0.16301645328761674</v>
      </c>
      <c r="N140" s="39">
        <f t="shared" si="61"/>
        <v>4.0029009927757396E-2</v>
      </c>
      <c r="O140" s="39">
        <f t="shared" si="61"/>
        <v>9.3864991970993711E-2</v>
      </c>
      <c r="P140" s="39">
        <f t="shared" si="61"/>
        <v>8.9828019304139917E-2</v>
      </c>
      <c r="Q140" s="39">
        <f t="shared" si="61"/>
        <v>3.2602382109832857E-2</v>
      </c>
      <c r="R140" s="39">
        <f t="shared" si="61"/>
        <v>4.2726658373519064E-2</v>
      </c>
      <c r="S140" s="39">
        <f t="shared" si="61"/>
        <v>2.0610154508188087E-2</v>
      </c>
      <c r="T140" s="39">
        <f t="shared" si="61"/>
        <v>1.3623638548383827E-2</v>
      </c>
      <c r="U140" s="39">
        <f t="shared" si="61"/>
        <v>2.4855264094087382E-2</v>
      </c>
      <c r="V140" s="39">
        <f t="shared" si="61"/>
        <v>1.485395976030922E-2</v>
      </c>
      <c r="W140" s="39">
        <f t="shared" si="61"/>
        <v>3.9328985289079715E-2</v>
      </c>
      <c r="X140" s="39">
        <f t="shared" si="61"/>
        <v>1.7725027246493476E-2</v>
      </c>
    </row>
    <row r="141" spans="4:24" x14ac:dyDescent="0.25">
      <c r="D141" s="31"/>
      <c r="E141" s="31">
        <f>'2025 Data'!E140</f>
        <v>0</v>
      </c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</row>
    <row r="142" spans="4:24" x14ac:dyDescent="0.25">
      <c r="D142" s="31" t="str">
        <f>D54</f>
        <v>Other Income</v>
      </c>
      <c r="E142" s="31" t="str">
        <f>'2025 Data'!E141</f>
        <v>% of Totals</v>
      </c>
      <c r="F142" s="39">
        <v>0</v>
      </c>
      <c r="I142" s="39">
        <v>0</v>
      </c>
      <c r="J142" s="39">
        <v>0</v>
      </c>
      <c r="K142" s="39">
        <v>0</v>
      </c>
      <c r="L142" s="39">
        <v>0</v>
      </c>
      <c r="M142" s="39">
        <v>0</v>
      </c>
      <c r="N142" s="39">
        <v>0</v>
      </c>
      <c r="O142" s="39">
        <v>0</v>
      </c>
      <c r="P142" s="39">
        <v>0</v>
      </c>
      <c r="Q142" s="39">
        <v>0</v>
      </c>
      <c r="R142" s="39">
        <v>0</v>
      </c>
      <c r="S142" s="39">
        <v>0</v>
      </c>
      <c r="T142" s="39">
        <v>0</v>
      </c>
      <c r="U142" s="39">
        <v>0</v>
      </c>
      <c r="V142" s="39">
        <v>0</v>
      </c>
      <c r="W142" s="39">
        <v>0</v>
      </c>
      <c r="X142" s="39">
        <v>0</v>
      </c>
    </row>
    <row r="143" spans="4:24" x14ac:dyDescent="0.25">
      <c r="D143" s="31"/>
      <c r="E143" s="31">
        <f>'2025 Data'!E142</f>
        <v>0</v>
      </c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</row>
    <row r="144" spans="4:24" s="18" customFormat="1" x14ac:dyDescent="0.25">
      <c r="D144" s="63" t="str">
        <f>D56</f>
        <v>Total Revenue</v>
      </c>
      <c r="E144" s="63" t="str">
        <f>'2025 Data'!E143</f>
        <v>% of Totals</v>
      </c>
      <c r="F144" s="84">
        <f>F56/$F56</f>
        <v>1</v>
      </c>
      <c r="G144" s="11"/>
      <c r="H144" s="11"/>
      <c r="I144" s="39">
        <f t="shared" ref="I144:X144" si="62">I56/$F56</f>
        <v>0.1547855774187929</v>
      </c>
      <c r="J144" s="39">
        <f t="shared" si="62"/>
        <v>0.22329289088261706</v>
      </c>
      <c r="K144" s="39">
        <f t="shared" si="62"/>
        <v>3.9522457828150788E-2</v>
      </c>
      <c r="L144" s="39">
        <f t="shared" si="62"/>
        <v>5.2949903442527542E-2</v>
      </c>
      <c r="M144" s="39">
        <f t="shared" si="62"/>
        <v>0.10911760834452097</v>
      </c>
      <c r="N144" s="39">
        <f t="shared" si="62"/>
        <v>5.1230532266947411E-2</v>
      </c>
      <c r="O144" s="39">
        <f t="shared" si="62"/>
        <v>0.10129770360411096</v>
      </c>
      <c r="P144" s="39">
        <f t="shared" si="62"/>
        <v>6.0960844944339371E-2</v>
      </c>
      <c r="Q144" s="39">
        <f t="shared" si="62"/>
        <v>5.0189913404987789E-2</v>
      </c>
      <c r="R144" s="39">
        <f t="shared" si="62"/>
        <v>5.4317634593736473E-2</v>
      </c>
      <c r="S144" s="39">
        <f t="shared" si="62"/>
        <v>2.7846301599991422E-2</v>
      </c>
      <c r="T144" s="39">
        <f t="shared" si="62"/>
        <v>1.0704563042736107E-2</v>
      </c>
      <c r="U144" s="39">
        <f t="shared" si="62"/>
        <v>1.269832474938425E-2</v>
      </c>
      <c r="V144" s="39">
        <f t="shared" si="62"/>
        <v>1.0098109803173171E-2</v>
      </c>
      <c r="W144" s="39">
        <f t="shared" si="62"/>
        <v>3.5132161770643787E-2</v>
      </c>
      <c r="X144" s="39">
        <f t="shared" si="62"/>
        <v>5.8554723033400202E-3</v>
      </c>
    </row>
    <row r="145" spans="4:24" x14ac:dyDescent="0.25">
      <c r="D145" s="31"/>
      <c r="E145" s="31">
        <f>'2025 Data'!E144</f>
        <v>0</v>
      </c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</row>
    <row r="146" spans="4:24" x14ac:dyDescent="0.25">
      <c r="D146" s="31" t="str">
        <f>D58</f>
        <v>Interest on savings</v>
      </c>
      <c r="E146" s="31" t="str">
        <f>'2025 Data'!E145</f>
        <v>% of Totals</v>
      </c>
      <c r="F146" s="39">
        <f>F58/$F58</f>
        <v>1</v>
      </c>
      <c r="I146" s="39">
        <f t="shared" ref="I146:X146" si="63">I58/$F58</f>
        <v>0.19005464370373407</v>
      </c>
      <c r="J146" s="39">
        <f t="shared" si="63"/>
        <v>0.12900823476781309</v>
      </c>
      <c r="K146" s="39">
        <f t="shared" si="63"/>
        <v>2.9407609771275264E-2</v>
      </c>
      <c r="L146" s="39">
        <f t="shared" si="63"/>
        <v>6.6825234231938924E-2</v>
      </c>
      <c r="M146" s="39">
        <f t="shared" si="63"/>
        <v>0.1232687463638943</v>
      </c>
      <c r="N146" s="39">
        <f t="shared" si="63"/>
        <v>4.3183012320927514E-2</v>
      </c>
      <c r="O146" s="39">
        <f t="shared" si="63"/>
        <v>0.10261830473849189</v>
      </c>
      <c r="P146" s="39">
        <f t="shared" si="63"/>
        <v>9.7385711933799066E-2</v>
      </c>
      <c r="Q146" s="39">
        <f t="shared" si="63"/>
        <v>7.3350062868054983E-2</v>
      </c>
      <c r="R146" s="39">
        <f t="shared" si="63"/>
        <v>6.8733597602417887E-2</v>
      </c>
      <c r="S146" s="39">
        <f t="shared" si="63"/>
        <v>6.8199863527771938E-3</v>
      </c>
      <c r="T146" s="39">
        <f t="shared" si="63"/>
        <v>2.0212130814732766E-2</v>
      </c>
      <c r="U146" s="39">
        <f t="shared" si="63"/>
        <v>7.8062912254396192E-3</v>
      </c>
      <c r="V146" s="39">
        <f t="shared" si="63"/>
        <v>1.1271460871500983E-2</v>
      </c>
      <c r="W146" s="39">
        <f t="shared" si="63"/>
        <v>2.3973353521224355E-2</v>
      </c>
      <c r="X146" s="39">
        <f t="shared" si="63"/>
        <v>6.0816189119781063E-3</v>
      </c>
    </row>
    <row r="147" spans="4:24" x14ac:dyDescent="0.25">
      <c r="D147" s="31" t="str">
        <f>D59</f>
        <v xml:space="preserve">Interest on fixed deposits </v>
      </c>
      <c r="E147" s="31" t="str">
        <f>'2025 Data'!E146</f>
        <v>% of Totals</v>
      </c>
      <c r="F147" s="39">
        <f>F59/$F59</f>
        <v>1</v>
      </c>
      <c r="I147" s="39">
        <f t="shared" ref="I147:X147" si="64">I59/$F59</f>
        <v>5.416549340003686E-2</v>
      </c>
      <c r="J147" s="39">
        <f t="shared" si="64"/>
        <v>4.2863689575657081E-2</v>
      </c>
      <c r="K147" s="39">
        <f t="shared" si="64"/>
        <v>2.2274870696144825E-2</v>
      </c>
      <c r="L147" s="39">
        <f t="shared" si="64"/>
        <v>3.1327454721584512E-2</v>
      </c>
      <c r="M147" s="39">
        <f t="shared" si="64"/>
        <v>0.5944351816640413</v>
      </c>
      <c r="N147" s="39">
        <f t="shared" si="64"/>
        <v>0.11763251649392546</v>
      </c>
      <c r="O147" s="39">
        <f t="shared" si="64"/>
        <v>8.6809857369745044E-2</v>
      </c>
      <c r="P147" s="39">
        <f t="shared" si="64"/>
        <v>3.9496450307800565E-2</v>
      </c>
      <c r="Q147" s="39">
        <f t="shared" si="64"/>
        <v>1.911930978106982E-3</v>
      </c>
      <c r="R147" s="39">
        <f t="shared" si="64"/>
        <v>0</v>
      </c>
      <c r="S147" s="39">
        <f t="shared" si="64"/>
        <v>0</v>
      </c>
      <c r="T147" s="39">
        <f t="shared" si="64"/>
        <v>7.0611755931564027E-3</v>
      </c>
      <c r="U147" s="39">
        <f t="shared" si="64"/>
        <v>2.0209084547613623E-3</v>
      </c>
      <c r="V147" s="39">
        <f t="shared" si="64"/>
        <v>0</v>
      </c>
      <c r="W147" s="39">
        <f t="shared" si="64"/>
        <v>0</v>
      </c>
      <c r="X147" s="39">
        <f t="shared" si="64"/>
        <v>4.7074503954376017E-7</v>
      </c>
    </row>
    <row r="148" spans="4:24" x14ac:dyDescent="0.25">
      <c r="D148" s="31" t="str">
        <f>D60</f>
        <v>Interest on Diaspora jijenge savings</v>
      </c>
      <c r="E148" s="31" t="str">
        <f>'2025 Data'!E147</f>
        <v>% of Totals</v>
      </c>
      <c r="F148" s="39" t="e">
        <f>F60/$F60</f>
        <v>#DIV/0!</v>
      </c>
      <c r="I148" s="39" t="e">
        <f t="shared" ref="I148:X148" si="65">I60/$F60</f>
        <v>#DIV/0!</v>
      </c>
      <c r="J148" s="39" t="e">
        <f t="shared" si="65"/>
        <v>#DIV/0!</v>
      </c>
      <c r="K148" s="39" t="e">
        <f t="shared" si="65"/>
        <v>#DIV/0!</v>
      </c>
      <c r="L148" s="39" t="e">
        <f t="shared" si="65"/>
        <v>#DIV/0!</v>
      </c>
      <c r="M148" s="39" t="e">
        <f t="shared" si="65"/>
        <v>#DIV/0!</v>
      </c>
      <c r="N148" s="39" t="e">
        <f t="shared" si="65"/>
        <v>#DIV/0!</v>
      </c>
      <c r="O148" s="39" t="e">
        <f t="shared" si="65"/>
        <v>#DIV/0!</v>
      </c>
      <c r="P148" s="39" t="e">
        <f t="shared" si="65"/>
        <v>#DIV/0!</v>
      </c>
      <c r="Q148" s="39" t="e">
        <f t="shared" si="65"/>
        <v>#DIV/0!</v>
      </c>
      <c r="R148" s="39" t="e">
        <f t="shared" si="65"/>
        <v>#DIV/0!</v>
      </c>
      <c r="S148" s="39" t="e">
        <f t="shared" si="65"/>
        <v>#DIV/0!</v>
      </c>
      <c r="T148" s="39" t="e">
        <f t="shared" si="65"/>
        <v>#DIV/0!</v>
      </c>
      <c r="U148" s="39" t="e">
        <f t="shared" si="65"/>
        <v>#DIV/0!</v>
      </c>
      <c r="V148" s="39" t="e">
        <f t="shared" si="65"/>
        <v>#DIV/0!</v>
      </c>
      <c r="W148" s="39" t="e">
        <f t="shared" si="65"/>
        <v>#DIV/0!</v>
      </c>
      <c r="X148" s="39" t="e">
        <f t="shared" si="65"/>
        <v>#DIV/0!</v>
      </c>
    </row>
    <row r="149" spans="4:24" x14ac:dyDescent="0.25">
      <c r="D149" s="19" t="str">
        <f>D61</f>
        <v>Total interest expense on deposits</v>
      </c>
      <c r="E149" s="19" t="str">
        <f>'2025 Data'!E148</f>
        <v>% of Totals</v>
      </c>
      <c r="F149" s="64">
        <f>F61/$F61</f>
        <v>1</v>
      </c>
      <c r="G149" s="18"/>
      <c r="H149" s="18"/>
      <c r="I149" s="39">
        <f t="shared" ref="I149:X149" si="66">I61/$F61</f>
        <v>0.17851738579912863</v>
      </c>
      <c r="J149" s="39">
        <f t="shared" si="66"/>
        <v>0.12169439232538373</v>
      </c>
      <c r="K149" s="39">
        <f t="shared" si="66"/>
        <v>2.8802026101849686E-2</v>
      </c>
      <c r="L149" s="39">
        <f t="shared" si="66"/>
        <v>6.3811402470267842E-2</v>
      </c>
      <c r="M149" s="39">
        <f t="shared" si="66"/>
        <v>0.16327170957252871</v>
      </c>
      <c r="N149" s="39">
        <f t="shared" si="66"/>
        <v>4.950392262608605E-2</v>
      </c>
      <c r="O149" s="39">
        <f t="shared" si="66"/>
        <v>0.10127613625810179</v>
      </c>
      <c r="P149" s="39">
        <f t="shared" si="66"/>
        <v>9.2470799008126353E-2</v>
      </c>
      <c r="Q149" s="39">
        <f t="shared" si="66"/>
        <v>6.7284824031874524E-2</v>
      </c>
      <c r="R149" s="39">
        <f t="shared" si="66"/>
        <v>6.2897979081894317E-2</v>
      </c>
      <c r="S149" s="39">
        <f t="shared" si="66"/>
        <v>6.2409560086913712E-3</v>
      </c>
      <c r="T149" s="39">
        <f t="shared" si="66"/>
        <v>1.9095588679145389E-2</v>
      </c>
      <c r="U149" s="39">
        <f t="shared" si="66"/>
        <v>7.3151007738619716E-3</v>
      </c>
      <c r="V149" s="39">
        <f t="shared" si="66"/>
        <v>1.0314491527402894E-2</v>
      </c>
      <c r="W149" s="39">
        <f t="shared" si="66"/>
        <v>2.1937968342977926E-2</v>
      </c>
      <c r="X149" s="39">
        <f t="shared" si="66"/>
        <v>5.5653173926788133E-3</v>
      </c>
    </row>
    <row r="150" spans="4:24" x14ac:dyDescent="0.25">
      <c r="D150" s="31"/>
      <c r="E150" s="31">
        <f>'2025 Data'!E149</f>
        <v>0</v>
      </c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</row>
    <row r="151" spans="4:24" x14ac:dyDescent="0.25">
      <c r="D151" s="31" t="str">
        <f>D63</f>
        <v>Mobile deposit charges paybill</v>
      </c>
      <c r="E151" s="31" t="str">
        <f>'2025 Data'!E150</f>
        <v>% of Totals</v>
      </c>
      <c r="F151" s="39">
        <f>F63/$F63</f>
        <v>1</v>
      </c>
      <c r="I151" s="39">
        <f t="shared" ref="I151:X151" si="67">I63/$F63</f>
        <v>8.9091008344440115E-2</v>
      </c>
      <c r="J151" s="39">
        <f t="shared" si="67"/>
        <v>5.4452968456747027E-2</v>
      </c>
      <c r="K151" s="39">
        <f t="shared" si="67"/>
        <v>1.1457454991099465E-2</v>
      </c>
      <c r="L151" s="39">
        <f t="shared" si="67"/>
        <v>5.5975617219587825E-2</v>
      </c>
      <c r="M151" s="39">
        <f t="shared" si="67"/>
        <v>7.4497777133030504E-2</v>
      </c>
      <c r="N151" s="39">
        <f t="shared" si="67"/>
        <v>6.2971943671251418E-2</v>
      </c>
      <c r="O151" s="39">
        <f t="shared" si="67"/>
        <v>0.11252725694287036</v>
      </c>
      <c r="P151" s="39">
        <f t="shared" si="67"/>
        <v>0.1512110544942411</v>
      </c>
      <c r="Q151" s="39">
        <f t="shared" si="67"/>
        <v>6.4684616581892479E-2</v>
      </c>
      <c r="R151" s="39">
        <f t="shared" si="67"/>
        <v>0.15288821593392146</v>
      </c>
      <c r="S151" s="39">
        <f t="shared" si="67"/>
        <v>2.9617416789823471E-2</v>
      </c>
      <c r="T151" s="39">
        <f t="shared" si="67"/>
        <v>2.0979345924038696E-2</v>
      </c>
      <c r="U151" s="39">
        <f t="shared" si="67"/>
        <v>3.4918731620924869E-2</v>
      </c>
      <c r="V151" s="39">
        <f t="shared" si="67"/>
        <v>1.8010076946557502E-2</v>
      </c>
      <c r="W151" s="39">
        <f t="shared" si="67"/>
        <v>4.242506324064084E-2</v>
      </c>
      <c r="X151" s="39">
        <f t="shared" si="67"/>
        <v>2.4291451708932873E-2</v>
      </c>
    </row>
    <row r="152" spans="4:24" x14ac:dyDescent="0.25">
      <c r="D152" s="31" t="str">
        <f>D64</f>
        <v>loss impairement of financial assets</v>
      </c>
      <c r="E152" s="31" t="str">
        <f>'2025 Data'!E151</f>
        <v>% of Totals</v>
      </c>
      <c r="F152" s="39">
        <f>F64/$F64</f>
        <v>1</v>
      </c>
      <c r="I152" s="39">
        <f t="shared" ref="I152:X152" si="68">I64/$F64</f>
        <v>0</v>
      </c>
      <c r="J152" s="39">
        <f t="shared" si="68"/>
        <v>0.33333288100449571</v>
      </c>
      <c r="K152" s="39">
        <f t="shared" si="68"/>
        <v>0.66666711899550435</v>
      </c>
      <c r="L152" s="39">
        <f t="shared" si="68"/>
        <v>0</v>
      </c>
      <c r="M152" s="39">
        <f t="shared" si="68"/>
        <v>0</v>
      </c>
      <c r="N152" s="39">
        <f t="shared" si="68"/>
        <v>0</v>
      </c>
      <c r="O152" s="39">
        <f t="shared" si="68"/>
        <v>0</v>
      </c>
      <c r="P152" s="39">
        <f t="shared" si="68"/>
        <v>0</v>
      </c>
      <c r="Q152" s="39">
        <f t="shared" si="68"/>
        <v>0</v>
      </c>
      <c r="R152" s="39">
        <f t="shared" si="68"/>
        <v>0</v>
      </c>
      <c r="S152" s="39">
        <f t="shared" si="68"/>
        <v>0</v>
      </c>
      <c r="T152" s="39">
        <f t="shared" si="68"/>
        <v>0</v>
      </c>
      <c r="U152" s="39">
        <f t="shared" si="68"/>
        <v>0</v>
      </c>
      <c r="V152" s="39">
        <f t="shared" si="68"/>
        <v>0</v>
      </c>
      <c r="W152" s="39">
        <f t="shared" si="68"/>
        <v>0</v>
      </c>
      <c r="X152" s="39">
        <f t="shared" si="68"/>
        <v>0</v>
      </c>
    </row>
    <row r="153" spans="4:24" x14ac:dyDescent="0.25">
      <c r="D153" s="31" t="str">
        <f>D65</f>
        <v>Appraisal fee</v>
      </c>
      <c r="E153" s="31" t="str">
        <f>'2025 Data'!E152</f>
        <v>% of Totals</v>
      </c>
      <c r="F153" s="39">
        <f>F65/$F65</f>
        <v>1</v>
      </c>
      <c r="I153" s="39">
        <f t="shared" ref="I153:X153" si="69">I65/$F65</f>
        <v>0</v>
      </c>
      <c r="J153" s="39">
        <f t="shared" si="69"/>
        <v>0</v>
      </c>
      <c r="K153" s="39">
        <f t="shared" si="69"/>
        <v>0</v>
      </c>
      <c r="L153" s="39">
        <f t="shared" si="69"/>
        <v>0</v>
      </c>
      <c r="M153" s="39">
        <f t="shared" si="69"/>
        <v>0</v>
      </c>
      <c r="N153" s="39">
        <f t="shared" si="69"/>
        <v>0</v>
      </c>
      <c r="O153" s="39">
        <f t="shared" si="69"/>
        <v>0</v>
      </c>
      <c r="P153" s="39">
        <f t="shared" si="69"/>
        <v>0</v>
      </c>
      <c r="Q153" s="39">
        <f t="shared" si="69"/>
        <v>0</v>
      </c>
      <c r="R153" s="39">
        <f t="shared" si="69"/>
        <v>0.3524229074889868</v>
      </c>
      <c r="S153" s="39">
        <f t="shared" si="69"/>
        <v>0.13656387665198239</v>
      </c>
      <c r="T153" s="39">
        <f t="shared" si="69"/>
        <v>0.25550660792951541</v>
      </c>
      <c r="U153" s="39">
        <f t="shared" si="69"/>
        <v>0.25550660792951541</v>
      </c>
      <c r="V153" s="39">
        <f t="shared" si="69"/>
        <v>0</v>
      </c>
      <c r="W153" s="39">
        <f t="shared" si="69"/>
        <v>0</v>
      </c>
      <c r="X153" s="39">
        <f t="shared" si="69"/>
        <v>0</v>
      </c>
    </row>
    <row r="154" spans="4:24" x14ac:dyDescent="0.25">
      <c r="D154" s="31" t="str">
        <f>D66</f>
        <v>Other Expenses</v>
      </c>
      <c r="E154" s="31" t="str">
        <f>'2025 Data'!E153</f>
        <v>% of Totals</v>
      </c>
      <c r="F154" s="39">
        <f>F66/$F66</f>
        <v>1</v>
      </c>
      <c r="I154" s="39">
        <f t="shared" ref="I154:X154" si="70">I66/$F66</f>
        <v>0.20987534753987955</v>
      </c>
      <c r="J154" s="39">
        <f t="shared" si="70"/>
        <v>0.21694981419840095</v>
      </c>
      <c r="K154" s="39">
        <f t="shared" si="70"/>
        <v>4.3611971165737409E-2</v>
      </c>
      <c r="L154" s="39">
        <f t="shared" si="70"/>
        <v>0.12162927291528222</v>
      </c>
      <c r="M154" s="39">
        <f t="shared" si="70"/>
        <v>8.1736313708194647E-2</v>
      </c>
      <c r="N154" s="39">
        <f t="shared" si="70"/>
        <v>2.1360478941988777E-2</v>
      </c>
      <c r="O154" s="39">
        <f t="shared" si="70"/>
        <v>0.11999177526201453</v>
      </c>
      <c r="P154" s="39">
        <f t="shared" si="70"/>
        <v>5.9773879304950039E-2</v>
      </c>
      <c r="Q154" s="39">
        <f t="shared" si="70"/>
        <v>1.6541855274411231E-2</v>
      </c>
      <c r="R154" s="39">
        <f t="shared" si="70"/>
        <v>5.9322412709008177E-2</v>
      </c>
      <c r="S154" s="39">
        <f t="shared" si="70"/>
        <v>8.5078358509176836E-3</v>
      </c>
      <c r="T154" s="39">
        <f t="shared" si="70"/>
        <v>2.2200832605722151E-3</v>
      </c>
      <c r="U154" s="39">
        <f t="shared" si="70"/>
        <v>3.6477904956596627E-2</v>
      </c>
      <c r="V154" s="39">
        <f t="shared" si="70"/>
        <v>2.600030395770816E-3</v>
      </c>
      <c r="W154" s="39">
        <f t="shared" si="70"/>
        <v>5.2149606791964786E-4</v>
      </c>
      <c r="X154" s="39">
        <f t="shared" si="70"/>
        <v>-1.1204715516445005E-3</v>
      </c>
    </row>
    <row r="155" spans="4:24" s="18" customFormat="1" x14ac:dyDescent="0.25">
      <c r="D155" s="19" t="str">
        <f>D67</f>
        <v xml:space="preserve">Total fees and commission expenses </v>
      </c>
      <c r="E155" s="19" t="str">
        <f>'2025 Data'!E154</f>
        <v>% of Totals</v>
      </c>
      <c r="F155" s="64">
        <f>F67/$F67</f>
        <v>1</v>
      </c>
      <c r="I155" s="39">
        <f t="shared" ref="I155:X155" si="71">I67/$F67</f>
        <v>9.0204919734341762E-2</v>
      </c>
      <c r="J155" s="39">
        <f t="shared" si="71"/>
        <v>8.0523335702657003E-2</v>
      </c>
      <c r="K155" s="39">
        <f t="shared" si="71"/>
        <v>5.3404882859090029E-2</v>
      </c>
      <c r="L155" s="39">
        <f t="shared" si="71"/>
        <v>5.6103964913264533E-2</v>
      </c>
      <c r="M155" s="39">
        <f t="shared" si="71"/>
        <v>7.0193522685643217E-2</v>
      </c>
      <c r="N155" s="39">
        <f t="shared" si="71"/>
        <v>5.6668325997526726E-2</v>
      </c>
      <c r="O155" s="39">
        <f t="shared" si="71"/>
        <v>0.10583205569294564</v>
      </c>
      <c r="P155" s="39">
        <f t="shared" si="71"/>
        <v>0.13654817524497456</v>
      </c>
      <c r="Q155" s="39">
        <f t="shared" si="71"/>
        <v>5.7908040011312181E-2</v>
      </c>
      <c r="R155" s="39">
        <f t="shared" si="71"/>
        <v>0.13866608935376037</v>
      </c>
      <c r="S155" s="39">
        <f t="shared" si="71"/>
        <v>2.6824665582984668E-2</v>
      </c>
      <c r="T155" s="39">
        <f t="shared" si="71"/>
        <v>1.9088434125549416E-2</v>
      </c>
      <c r="U155" s="39">
        <f t="shared" si="71"/>
        <v>3.3281412335453966E-2</v>
      </c>
      <c r="V155" s="39">
        <f t="shared" si="71"/>
        <v>1.6011280898311751E-2</v>
      </c>
      <c r="W155" s="39">
        <f t="shared" si="71"/>
        <v>3.7403752639280412E-2</v>
      </c>
      <c r="X155" s="39">
        <f t="shared" si="71"/>
        <v>2.1337142222903741E-2</v>
      </c>
    </row>
    <row r="156" spans="4:24" x14ac:dyDescent="0.25">
      <c r="D156" s="31"/>
      <c r="E156" s="31">
        <f>'2025 Data'!E155</f>
        <v>0</v>
      </c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</row>
    <row r="157" spans="4:24" x14ac:dyDescent="0.25">
      <c r="D157" s="31" t="str">
        <f>D69</f>
        <v>Other Expenses</v>
      </c>
      <c r="E157" s="31" t="str">
        <f>'2025 Data'!E156</f>
        <v>% of Totals</v>
      </c>
      <c r="F157" s="39" t="e">
        <f>F69/$F69</f>
        <v>#DIV/0!</v>
      </c>
      <c r="I157" s="39" t="e">
        <f t="shared" ref="I157:X157" si="72">I69/$F69</f>
        <v>#DIV/0!</v>
      </c>
      <c r="J157" s="39" t="e">
        <f t="shared" si="72"/>
        <v>#DIV/0!</v>
      </c>
      <c r="K157" s="39" t="e">
        <f t="shared" si="72"/>
        <v>#DIV/0!</v>
      </c>
      <c r="L157" s="39" t="e">
        <f t="shared" si="72"/>
        <v>#DIV/0!</v>
      </c>
      <c r="M157" s="39" t="e">
        <f t="shared" si="72"/>
        <v>#DIV/0!</v>
      </c>
      <c r="N157" s="39" t="e">
        <f t="shared" si="72"/>
        <v>#DIV/0!</v>
      </c>
      <c r="O157" s="39" t="e">
        <f t="shared" si="72"/>
        <v>#DIV/0!</v>
      </c>
      <c r="P157" s="39" t="e">
        <f t="shared" si="72"/>
        <v>#DIV/0!</v>
      </c>
      <c r="Q157" s="39" t="e">
        <f t="shared" si="72"/>
        <v>#DIV/0!</v>
      </c>
      <c r="R157" s="39" t="e">
        <f t="shared" si="72"/>
        <v>#DIV/0!</v>
      </c>
      <c r="S157" s="39" t="e">
        <f t="shared" si="72"/>
        <v>#DIV/0!</v>
      </c>
      <c r="T157" s="39" t="e">
        <f t="shared" si="72"/>
        <v>#DIV/0!</v>
      </c>
      <c r="U157" s="39" t="e">
        <f t="shared" si="72"/>
        <v>#DIV/0!</v>
      </c>
      <c r="V157" s="39" t="e">
        <f t="shared" si="72"/>
        <v>#DIV/0!</v>
      </c>
      <c r="W157" s="39" t="e">
        <f t="shared" si="72"/>
        <v>#DIV/0!</v>
      </c>
      <c r="X157" s="39" t="e">
        <f t="shared" si="72"/>
        <v>#DIV/0!</v>
      </c>
    </row>
    <row r="158" spans="4:24" x14ac:dyDescent="0.25">
      <c r="D158" s="31"/>
      <c r="E158" s="31">
        <f>'2025 Data'!E157</f>
        <v>0</v>
      </c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</row>
    <row r="159" spans="4:24" s="18" customFormat="1" x14ac:dyDescent="0.25">
      <c r="D159" s="19" t="str">
        <f>D71</f>
        <v>Total Provision for Loan Losses</v>
      </c>
      <c r="E159" s="19" t="str">
        <f>'2025 Data'!E158</f>
        <v>% of Totals</v>
      </c>
      <c r="F159" s="64">
        <f>F71/$F71</f>
        <v>1</v>
      </c>
      <c r="I159" s="39">
        <f t="shared" ref="I159:X159" si="73">I71/$F71</f>
        <v>7.8586370458711363E-2</v>
      </c>
      <c r="J159" s="39">
        <f t="shared" si="73"/>
        <v>0.10430221296263552</v>
      </c>
      <c r="K159" s="39">
        <f t="shared" si="73"/>
        <v>-1.329334833761042E-2</v>
      </c>
      <c r="L159" s="39">
        <f t="shared" si="73"/>
        <v>1.9604560183518784E-2</v>
      </c>
      <c r="M159" s="39">
        <f t="shared" si="73"/>
        <v>0.14258784324133852</v>
      </c>
      <c r="N159" s="39">
        <f t="shared" si="73"/>
        <v>1.908221648397326E-2</v>
      </c>
      <c r="O159" s="39">
        <f t="shared" si="73"/>
        <v>3.8853141631061405E-2</v>
      </c>
      <c r="P159" s="39">
        <f t="shared" si="73"/>
        <v>4.9394417550925634E-2</v>
      </c>
      <c r="Q159" s="39">
        <f t="shared" si="73"/>
        <v>0.11589057192342553</v>
      </c>
      <c r="R159" s="39">
        <f t="shared" si="73"/>
        <v>0.24683575783085868</v>
      </c>
      <c r="S159" s="39">
        <f t="shared" si="73"/>
        <v>0.12325021382595323</v>
      </c>
      <c r="T159" s="39">
        <f t="shared" si="73"/>
        <v>9.902381261163393E-3</v>
      </c>
      <c r="U159" s="39">
        <f t="shared" si="73"/>
        <v>3.0586548946816172E-2</v>
      </c>
      <c r="V159" s="39">
        <f t="shared" si="73"/>
        <v>1.0406983570466637E-2</v>
      </c>
      <c r="W159" s="39">
        <f t="shared" si="73"/>
        <v>2.2361091393718946E-2</v>
      </c>
      <c r="X159" s="39">
        <f t="shared" si="73"/>
        <v>1.6490370730433412E-3</v>
      </c>
    </row>
    <row r="160" spans="4:24" x14ac:dyDescent="0.25">
      <c r="D160" s="31"/>
      <c r="E160" s="31">
        <f>'2025 Data'!E159</f>
        <v>0</v>
      </c>
      <c r="F160" s="31"/>
      <c r="G160" s="31"/>
      <c r="H160" s="31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</row>
    <row r="161" spans="4:24" x14ac:dyDescent="0.25">
      <c r="D161" s="31" t="str">
        <f>D73</f>
        <v>Staff salaries</v>
      </c>
      <c r="E161" s="31" t="str">
        <f>'2025 Data'!E160</f>
        <v>% of Totals</v>
      </c>
      <c r="F161" s="39">
        <f>F73/$F73</f>
        <v>1</v>
      </c>
      <c r="I161" s="39">
        <f t="shared" ref="I161:X161" si="74">I73/$F73</f>
        <v>7.5684599345005002E-2</v>
      </c>
      <c r="J161" s="39">
        <f t="shared" si="74"/>
        <v>9.607861498606575E-2</v>
      </c>
      <c r="K161" s="39">
        <f t="shared" si="74"/>
        <v>6.160835330577398E-2</v>
      </c>
      <c r="L161" s="39">
        <f t="shared" si="74"/>
        <v>8.335801789123054E-2</v>
      </c>
      <c r="M161" s="39">
        <f t="shared" si="74"/>
        <v>0.12233452804024478</v>
      </c>
      <c r="N161" s="39">
        <f t="shared" si="74"/>
        <v>6.1646803840018034E-2</v>
      </c>
      <c r="O161" s="39">
        <f t="shared" si="74"/>
        <v>8.9457319521627401E-2</v>
      </c>
      <c r="P161" s="39">
        <f t="shared" si="74"/>
        <v>7.798755298830444E-2</v>
      </c>
      <c r="Q161" s="39">
        <f t="shared" si="74"/>
        <v>5.6899715012176146E-2</v>
      </c>
      <c r="R161" s="39">
        <f t="shared" si="74"/>
        <v>6.9301939114392572E-2</v>
      </c>
      <c r="S161" s="39">
        <f t="shared" si="74"/>
        <v>3.5596331390853449E-2</v>
      </c>
      <c r="T161" s="39">
        <f t="shared" si="74"/>
        <v>3.5549124582385662E-2</v>
      </c>
      <c r="U161" s="39">
        <f t="shared" si="74"/>
        <v>3.0538330601118869E-2</v>
      </c>
      <c r="V161" s="39">
        <f t="shared" si="74"/>
        <v>3.3956820735131399E-2</v>
      </c>
      <c r="W161" s="39">
        <f t="shared" si="74"/>
        <v>4.0463321230406822E-2</v>
      </c>
      <c r="X161" s="39">
        <f t="shared" si="74"/>
        <v>2.9538627415265171E-2</v>
      </c>
    </row>
    <row r="162" spans="4:24" x14ac:dyDescent="0.25">
      <c r="D162" s="31" t="str">
        <f>D74</f>
        <v>House alowance</v>
      </c>
      <c r="E162" s="31" t="str">
        <f>'2025 Data'!E161</f>
        <v>% of Totals</v>
      </c>
      <c r="F162" s="39">
        <f>F74/$F74</f>
        <v>1</v>
      </c>
      <c r="I162" s="39">
        <f t="shared" ref="I162:X162" si="75">I74/$F74</f>
        <v>7.6039150201476724E-2</v>
      </c>
      <c r="J162" s="39">
        <f t="shared" si="75"/>
        <v>9.5239668405424097E-2</v>
      </c>
      <c r="K162" s="39">
        <f t="shared" si="75"/>
        <v>6.3443312102848648E-2</v>
      </c>
      <c r="L162" s="39">
        <f t="shared" si="75"/>
        <v>8.663158599929105E-2</v>
      </c>
      <c r="M162" s="39">
        <f t="shared" si="75"/>
        <v>0.1257549165510542</v>
      </c>
      <c r="N162" s="39">
        <f t="shared" si="75"/>
        <v>6.3300905402933205E-2</v>
      </c>
      <c r="O162" s="39">
        <f t="shared" si="75"/>
        <v>9.0240848149458291E-2</v>
      </c>
      <c r="P162" s="39">
        <f t="shared" si="75"/>
        <v>7.8099791253403494E-2</v>
      </c>
      <c r="Q162" s="39">
        <f t="shared" si="75"/>
        <v>5.5438859259297431E-2</v>
      </c>
      <c r="R162" s="39">
        <f t="shared" si="75"/>
        <v>6.8996161138679374E-2</v>
      </c>
      <c r="S162" s="39">
        <f t="shared" si="75"/>
        <v>3.2485015778386278E-2</v>
      </c>
      <c r="T162" s="39">
        <f t="shared" si="75"/>
        <v>3.3379026175593768E-2</v>
      </c>
      <c r="U162" s="39">
        <f t="shared" si="75"/>
        <v>2.7810533108108357E-2</v>
      </c>
      <c r="V162" s="39">
        <f t="shared" si="75"/>
        <v>3.4879518870567172E-2</v>
      </c>
      <c r="W162" s="39">
        <f t="shared" si="75"/>
        <v>4.0588762211086947E-2</v>
      </c>
      <c r="X162" s="39">
        <f t="shared" si="75"/>
        <v>2.7671945392390963E-2</v>
      </c>
    </row>
    <row r="163" spans="4:24" x14ac:dyDescent="0.25">
      <c r="D163" s="31" t="str">
        <f>D75</f>
        <v>Other personnel expenses</v>
      </c>
      <c r="E163" s="31" t="str">
        <f>'2025 Data'!E162</f>
        <v>% of Totals</v>
      </c>
      <c r="F163" s="39">
        <f>F75/$F75</f>
        <v>1</v>
      </c>
      <c r="I163" s="39">
        <f t="shared" ref="I163:X163" si="76">I75/$F75</f>
        <v>6.385959019062061E-2</v>
      </c>
      <c r="J163" s="39">
        <f t="shared" si="76"/>
        <v>8.2812603111433375E-2</v>
      </c>
      <c r="K163" s="39">
        <f t="shared" si="76"/>
        <v>5.0764107079944748E-2</v>
      </c>
      <c r="L163" s="39">
        <f t="shared" si="76"/>
        <v>8.7867798028072333E-2</v>
      </c>
      <c r="M163" s="39">
        <f t="shared" si="76"/>
        <v>9.7702522278957857E-2</v>
      </c>
      <c r="N163" s="39">
        <f t="shared" si="76"/>
        <v>8.1624487749917859E-2</v>
      </c>
      <c r="O163" s="39">
        <f t="shared" si="76"/>
        <v>8.3324778004994965E-2</v>
      </c>
      <c r="P163" s="39">
        <f t="shared" si="76"/>
        <v>6.5606720504534574E-2</v>
      </c>
      <c r="Q163" s="39">
        <f t="shared" si="76"/>
        <v>5.1076542302559112E-2</v>
      </c>
      <c r="R163" s="39">
        <f t="shared" si="76"/>
        <v>7.962538353208698E-2</v>
      </c>
      <c r="S163" s="39">
        <f t="shared" si="76"/>
        <v>5.4171381799004804E-2</v>
      </c>
      <c r="T163" s="39">
        <f t="shared" si="76"/>
        <v>3.9407585407967308E-2</v>
      </c>
      <c r="U163" s="39">
        <f t="shared" si="76"/>
        <v>3.2747390844763177E-2</v>
      </c>
      <c r="V163" s="39">
        <f t="shared" si="76"/>
        <v>3.2879974988107109E-2</v>
      </c>
      <c r="W163" s="39">
        <f t="shared" si="76"/>
        <v>5.7208301835786866E-2</v>
      </c>
      <c r="X163" s="39">
        <f t="shared" si="76"/>
        <v>3.9320832341248342E-2</v>
      </c>
    </row>
    <row r="164" spans="4:24" s="18" customFormat="1" x14ac:dyDescent="0.25">
      <c r="D164" s="19" t="str">
        <f>D76</f>
        <v xml:space="preserve">Total personnel expenses </v>
      </c>
      <c r="E164" s="19" t="str">
        <f>'2025 Data'!E163</f>
        <v>% of Totals</v>
      </c>
      <c r="F164" s="64">
        <f>F76/$F76</f>
        <v>1</v>
      </c>
      <c r="I164" s="39">
        <f t="shared" ref="I164:X164" si="77">I76/$F76</f>
        <v>7.2074765381366104E-2</v>
      </c>
      <c r="J164" s="39">
        <f t="shared" si="77"/>
        <v>9.1867638877612928E-2</v>
      </c>
      <c r="K164" s="39">
        <f t="shared" si="77"/>
        <v>5.8494772722087522E-2</v>
      </c>
      <c r="L164" s="39">
        <f t="shared" si="77"/>
        <v>8.5179172736415981E-2</v>
      </c>
      <c r="M164" s="39">
        <f t="shared" si="77"/>
        <v>0.11516475567762614</v>
      </c>
      <c r="N164" s="39">
        <f t="shared" si="77"/>
        <v>6.8039180358139162E-2</v>
      </c>
      <c r="O164" s="39">
        <f t="shared" si="77"/>
        <v>8.7663416794759738E-2</v>
      </c>
      <c r="P164" s="39">
        <f t="shared" si="77"/>
        <v>7.4174275776569015E-2</v>
      </c>
      <c r="Q164" s="39">
        <f t="shared" si="77"/>
        <v>5.4908832531875361E-2</v>
      </c>
      <c r="R164" s="39">
        <f t="shared" si="77"/>
        <v>7.2453877809186107E-2</v>
      </c>
      <c r="S164" s="39">
        <f t="shared" si="77"/>
        <v>4.093370962374504E-2</v>
      </c>
      <c r="T164" s="39">
        <f t="shared" si="77"/>
        <v>3.6459140317306078E-2</v>
      </c>
      <c r="U164" s="39">
        <f t="shared" si="77"/>
        <v>3.0865669219553388E-2</v>
      </c>
      <c r="V164" s="39">
        <f t="shared" si="77"/>
        <v>3.3744185643450178E-2</v>
      </c>
      <c r="W164" s="39">
        <f t="shared" si="77"/>
        <v>4.5656897109658583E-2</v>
      </c>
      <c r="X164" s="39">
        <f t="shared" si="77"/>
        <v>3.2319709420648671E-2</v>
      </c>
    </row>
    <row r="165" spans="4:24" x14ac:dyDescent="0.25">
      <c r="D165" s="31"/>
      <c r="E165" s="31">
        <f>'2025 Data'!E164</f>
        <v>0</v>
      </c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 spans="4:24" x14ac:dyDescent="0.25">
      <c r="D166" s="31" t="str">
        <f>D78</f>
        <v>Total governance Expenses</v>
      </c>
      <c r="E166" s="31" t="str">
        <f>'2025 Data'!E165</f>
        <v>% of Totals</v>
      </c>
      <c r="F166" s="39">
        <f>F78/$F78</f>
        <v>1</v>
      </c>
      <c r="I166" s="39">
        <f t="shared" ref="I166:X166" si="78">I78/$F78</f>
        <v>8.9947844709954969E-2</v>
      </c>
      <c r="J166" s="39">
        <f t="shared" si="78"/>
        <v>0.20949212733506561</v>
      </c>
      <c r="K166" s="39">
        <f t="shared" si="78"/>
        <v>4.9971152550691164E-2</v>
      </c>
      <c r="L166" s="39">
        <f t="shared" si="78"/>
        <v>0.10993667707692927</v>
      </c>
      <c r="M166" s="39">
        <f t="shared" si="78"/>
        <v>0.23986160297602194</v>
      </c>
      <c r="N166" s="39">
        <f t="shared" si="78"/>
        <v>7.0201324904895016E-2</v>
      </c>
      <c r="O166" s="39">
        <f t="shared" si="78"/>
        <v>9.9408432332152574E-2</v>
      </c>
      <c r="P166" s="39">
        <f t="shared" si="78"/>
        <v>6.9959613570967638E-2</v>
      </c>
      <c r="Q166" s="39">
        <f t="shared" si="78"/>
        <v>3.9976815941496414E-2</v>
      </c>
      <c r="R166" s="39">
        <f t="shared" si="78"/>
        <v>1.0047669068271861E-2</v>
      </c>
      <c r="S166" s="39">
        <f t="shared" si="78"/>
        <v>1.0312580729224828E-2</v>
      </c>
      <c r="T166" s="39">
        <f t="shared" si="78"/>
        <v>6.012279869435208E-4</v>
      </c>
      <c r="U166" s="39">
        <f t="shared" si="78"/>
        <v>0</v>
      </c>
      <c r="V166" s="39">
        <f t="shared" si="78"/>
        <v>2.8293081738518626E-4</v>
      </c>
      <c r="W166" s="39">
        <f t="shared" si="78"/>
        <v>0</v>
      </c>
      <c r="X166" s="39">
        <f t="shared" si="78"/>
        <v>0</v>
      </c>
    </row>
    <row r="167" spans="4:24" x14ac:dyDescent="0.25">
      <c r="D167" s="31"/>
      <c r="E167" s="31">
        <f>'2025 Data'!E166</f>
        <v>0</v>
      </c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</row>
    <row r="168" spans="4:24" x14ac:dyDescent="0.25">
      <c r="D168" s="31" t="str">
        <f>D80</f>
        <v>Total Marketing Expenses</v>
      </c>
      <c r="E168" s="31" t="str">
        <f>'2025 Data'!E167</f>
        <v>% of Totals</v>
      </c>
      <c r="F168" s="39">
        <f>F80/$F80</f>
        <v>1</v>
      </c>
      <c r="I168" s="39">
        <f t="shared" ref="I168:X168" si="79">I80/$F80</f>
        <v>9.5282459114043969E-2</v>
      </c>
      <c r="J168" s="39">
        <f t="shared" si="79"/>
        <v>0.11810010370333278</v>
      </c>
      <c r="K168" s="39">
        <f t="shared" si="79"/>
        <v>6.1109852748254777E-2</v>
      </c>
      <c r="L168" s="39">
        <f t="shared" si="79"/>
        <v>6.4923759708722314E-2</v>
      </c>
      <c r="M168" s="39">
        <f t="shared" si="79"/>
        <v>1.1751491645214654E-2</v>
      </c>
      <c r="N168" s="39">
        <f t="shared" si="79"/>
        <v>6.0824537571059489E-2</v>
      </c>
      <c r="O168" s="39">
        <f t="shared" si="79"/>
        <v>9.8218294059796235E-2</v>
      </c>
      <c r="P168" s="39">
        <f t="shared" si="79"/>
        <v>2.1078386560141237E-2</v>
      </c>
      <c r="Q168" s="39">
        <f t="shared" si="79"/>
        <v>9.4255906752012786E-2</v>
      </c>
      <c r="R168" s="39">
        <f t="shared" si="79"/>
        <v>3.6236192055544458E-2</v>
      </c>
      <c r="S168" s="39">
        <f t="shared" si="79"/>
        <v>0.10195650515692625</v>
      </c>
      <c r="T168" s="39">
        <f t="shared" si="79"/>
        <v>6.3384222303611445E-2</v>
      </c>
      <c r="U168" s="39">
        <f t="shared" si="79"/>
        <v>5.2542827846062561E-2</v>
      </c>
      <c r="V168" s="39">
        <f t="shared" si="79"/>
        <v>5.8295131183842545E-2</v>
      </c>
      <c r="W168" s="39">
        <f t="shared" si="79"/>
        <v>1.8050552026640286E-3</v>
      </c>
      <c r="X168" s="39">
        <f t="shared" si="79"/>
        <v>6.0235274388770459E-2</v>
      </c>
    </row>
    <row r="169" spans="4:24" x14ac:dyDescent="0.25">
      <c r="D169" s="31"/>
      <c r="E169" s="31">
        <f>'2025 Data'!E168</f>
        <v>0</v>
      </c>
      <c r="F169" s="31"/>
      <c r="G169" s="31"/>
      <c r="H169" s="31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</row>
    <row r="170" spans="4:24" x14ac:dyDescent="0.25">
      <c r="D170" s="31" t="str">
        <f>D82</f>
        <v>Total Depreciation and amortization</v>
      </c>
      <c r="E170" s="31" t="str">
        <f>'2025 Data'!E169</f>
        <v>% of Totals</v>
      </c>
      <c r="F170" s="39">
        <f>F82/$F82</f>
        <v>1</v>
      </c>
      <c r="I170" s="39">
        <f t="shared" ref="I170:X170" si="80">I82/$F82</f>
        <v>5.935762332406902E-2</v>
      </c>
      <c r="J170" s="39">
        <f t="shared" si="80"/>
        <v>5.7479543317704766E-2</v>
      </c>
      <c r="K170" s="39">
        <f t="shared" si="80"/>
        <v>4.5434639423067552E-2</v>
      </c>
      <c r="L170" s="39">
        <f t="shared" si="80"/>
        <v>4.0007471763480469E-2</v>
      </c>
      <c r="M170" s="39">
        <f t="shared" si="80"/>
        <v>8.800731265703475E-2</v>
      </c>
      <c r="N170" s="39">
        <f t="shared" si="80"/>
        <v>8.2686605928040988E-2</v>
      </c>
      <c r="O170" s="39">
        <f t="shared" si="80"/>
        <v>3.3298093335428755E-2</v>
      </c>
      <c r="P170" s="39">
        <f t="shared" si="80"/>
        <v>7.2265913666814729E-2</v>
      </c>
      <c r="Q170" s="39">
        <f t="shared" si="80"/>
        <v>7.8166890962558896E-2</v>
      </c>
      <c r="R170" s="39">
        <f t="shared" si="80"/>
        <v>9.4796244307947405E-2</v>
      </c>
      <c r="S170" s="39">
        <f t="shared" si="80"/>
        <v>8.0009094025279989E-2</v>
      </c>
      <c r="T170" s="39">
        <f t="shared" si="80"/>
        <v>3.2819214131148168E-2</v>
      </c>
      <c r="U170" s="39">
        <f t="shared" si="80"/>
        <v>2.4364734368279167E-2</v>
      </c>
      <c r="V170" s="39">
        <f t="shared" si="80"/>
        <v>8.1432082800866196E-2</v>
      </c>
      <c r="W170" s="39">
        <f t="shared" si="80"/>
        <v>8.9701718310617115E-2</v>
      </c>
      <c r="X170" s="39">
        <f t="shared" si="80"/>
        <v>4.0172817677662037E-2</v>
      </c>
    </row>
    <row r="171" spans="4:24" x14ac:dyDescent="0.25">
      <c r="D171" s="31"/>
      <c r="E171" s="31">
        <f>'2025 Data'!E170</f>
        <v>0</v>
      </c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</row>
    <row r="172" spans="4:24" x14ac:dyDescent="0.25">
      <c r="D172" s="31" t="str">
        <f>D84</f>
        <v>Security</v>
      </c>
      <c r="E172" s="31" t="str">
        <f>'2025 Data'!E171</f>
        <v>% of Totals</v>
      </c>
      <c r="F172" s="39">
        <f>F84/$F84</f>
        <v>1</v>
      </c>
      <c r="I172" s="39">
        <f t="shared" ref="I172:X172" si="81">I84/$F84</f>
        <v>6.5083983592726158E-2</v>
      </c>
      <c r="J172" s="39">
        <f t="shared" si="81"/>
        <v>6.8029433820530075E-2</v>
      </c>
      <c r="K172" s="39">
        <f t="shared" si="81"/>
        <v>6.4324667988698167E-2</v>
      </c>
      <c r="L172" s="39">
        <f t="shared" si="81"/>
        <v>6.5375189990477159E-2</v>
      </c>
      <c r="M172" s="39">
        <f t="shared" si="81"/>
        <v>7.1675293602341317E-2</v>
      </c>
      <c r="N172" s="39">
        <f t="shared" si="81"/>
        <v>6.8224654748686289E-2</v>
      </c>
      <c r="O172" s="39">
        <f t="shared" si="81"/>
        <v>6.4936256821514479E-2</v>
      </c>
      <c r="P172" s="39">
        <f t="shared" si="81"/>
        <v>6.7476418652499176E-2</v>
      </c>
      <c r="Q172" s="39">
        <f t="shared" si="81"/>
        <v>6.6386305876035445E-2</v>
      </c>
      <c r="R172" s="39">
        <f t="shared" si="81"/>
        <v>6.9379434919247931E-2</v>
      </c>
      <c r="S172" s="39">
        <f t="shared" si="81"/>
        <v>5.9929796545150932E-2</v>
      </c>
      <c r="T172" s="39">
        <f t="shared" si="81"/>
        <v>5.8062677883806618E-2</v>
      </c>
      <c r="U172" s="39">
        <f t="shared" si="81"/>
        <v>4.7449838913188915E-2</v>
      </c>
      <c r="V172" s="39">
        <f t="shared" si="81"/>
        <v>5.775821300833936E-2</v>
      </c>
      <c r="W172" s="39">
        <f t="shared" si="81"/>
        <v>5.9197293350097858E-2</v>
      </c>
      <c r="X172" s="39">
        <f t="shared" si="81"/>
        <v>4.6710540286660107E-2</v>
      </c>
    </row>
    <row r="173" spans="4:24" x14ac:dyDescent="0.25">
      <c r="D173" s="31" t="str">
        <f>D85</f>
        <v>Other Admin Expenses</v>
      </c>
      <c r="E173" s="31" t="str">
        <f>'2025 Data'!E172</f>
        <v>% of Totals</v>
      </c>
      <c r="F173" s="39">
        <f>F85/$F85</f>
        <v>1</v>
      </c>
      <c r="I173" s="39">
        <f t="shared" ref="I173:X173" si="82">I85/$F85</f>
        <v>7.7586867122626843E-2</v>
      </c>
      <c r="J173" s="39">
        <f t="shared" si="82"/>
        <v>7.9867288575050099E-2</v>
      </c>
      <c r="K173" s="39">
        <f t="shared" si="82"/>
        <v>4.9631409151691758E-2</v>
      </c>
      <c r="L173" s="39">
        <f t="shared" si="82"/>
        <v>5.3119617913306168E-2</v>
      </c>
      <c r="M173" s="39">
        <f t="shared" si="82"/>
        <v>8.6771936402416414E-2</v>
      </c>
      <c r="N173" s="39">
        <f t="shared" si="82"/>
        <v>6.2820551096983229E-2</v>
      </c>
      <c r="O173" s="39">
        <f t="shared" si="82"/>
        <v>6.5049476682432314E-2</v>
      </c>
      <c r="P173" s="39">
        <f t="shared" si="82"/>
        <v>5.7680853655612173E-2</v>
      </c>
      <c r="Q173" s="39">
        <f t="shared" si="82"/>
        <v>9.8753888834650749E-2</v>
      </c>
      <c r="R173" s="39">
        <f t="shared" si="82"/>
        <v>0.1265392481856204</v>
      </c>
      <c r="S173" s="39">
        <f t="shared" si="82"/>
        <v>4.5781106731751522E-2</v>
      </c>
      <c r="T173" s="39">
        <f t="shared" si="82"/>
        <v>6.1398137895786305E-2</v>
      </c>
      <c r="U173" s="39">
        <f t="shared" si="82"/>
        <v>3.5495392289878247E-2</v>
      </c>
      <c r="V173" s="39">
        <f t="shared" si="82"/>
        <v>2.3075289451180106E-2</v>
      </c>
      <c r="W173" s="39">
        <f t="shared" si="82"/>
        <v>4.0501627474355061E-2</v>
      </c>
      <c r="X173" s="39">
        <f t="shared" si="82"/>
        <v>3.5927308536658605E-2</v>
      </c>
    </row>
    <row r="174" spans="4:24" s="18" customFormat="1" x14ac:dyDescent="0.25">
      <c r="D174" s="19" t="str">
        <f>D86</f>
        <v>Total Admin expenses</v>
      </c>
      <c r="E174" s="19" t="str">
        <f>'2025 Data'!E173</f>
        <v>% of Totals</v>
      </c>
      <c r="F174" s="64">
        <f>F86/$F86</f>
        <v>1</v>
      </c>
      <c r="I174" s="39">
        <f t="shared" ref="I174:X174" si="83">I86/$F86</f>
        <v>7.3633124973438074E-2</v>
      </c>
      <c r="J174" s="39">
        <f t="shared" si="83"/>
        <v>7.6123846097401721E-2</v>
      </c>
      <c r="K174" s="39">
        <f t="shared" si="83"/>
        <v>5.4277805851611585E-2</v>
      </c>
      <c r="L174" s="39">
        <f t="shared" si="83"/>
        <v>5.6995153646167362E-2</v>
      </c>
      <c r="M174" s="39">
        <f t="shared" si="83"/>
        <v>8.199797903432933E-2</v>
      </c>
      <c r="N174" s="39">
        <f t="shared" si="83"/>
        <v>6.4529471470049601E-2</v>
      </c>
      <c r="O174" s="39">
        <f t="shared" si="83"/>
        <v>6.5013673570680885E-2</v>
      </c>
      <c r="P174" s="39">
        <f t="shared" si="83"/>
        <v>6.0778470146295255E-2</v>
      </c>
      <c r="Q174" s="39">
        <f t="shared" si="83"/>
        <v>8.8518403819950492E-2</v>
      </c>
      <c r="R174" s="39">
        <f t="shared" si="83"/>
        <v>0.10846380483604848</v>
      </c>
      <c r="S174" s="39">
        <f t="shared" si="83"/>
        <v>5.0255296316678355E-2</v>
      </c>
      <c r="T174" s="39">
        <f t="shared" si="83"/>
        <v>6.0343377303578936E-2</v>
      </c>
      <c r="U174" s="39">
        <f t="shared" si="83"/>
        <v>3.9275704197269591E-2</v>
      </c>
      <c r="V174" s="39">
        <f t="shared" si="83"/>
        <v>3.4042946343855456E-2</v>
      </c>
      <c r="W174" s="39">
        <f t="shared" si="83"/>
        <v>4.641369103979575E-2</v>
      </c>
      <c r="X174" s="39">
        <f t="shared" si="83"/>
        <v>3.9337251352849108E-2</v>
      </c>
    </row>
    <row r="175" spans="4:24" x14ac:dyDescent="0.25">
      <c r="D175" s="31"/>
      <c r="E175" s="31">
        <f>'2025 Data'!E174</f>
        <v>0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</row>
    <row r="176" spans="4:24" s="18" customFormat="1" x14ac:dyDescent="0.25">
      <c r="D176" s="63" t="str">
        <f>D88</f>
        <v>Total Expenses</v>
      </c>
      <c r="E176" s="63" t="str">
        <f>'2025 Data'!E175</f>
        <v>% of Totals</v>
      </c>
      <c r="F176" s="84">
        <f>F88/$F88</f>
        <v>1</v>
      </c>
      <c r="G176" s="11"/>
      <c r="H176" s="11"/>
      <c r="I176" s="39">
        <f t="shared" ref="I176:X176" si="84">I88/$F88</f>
        <v>0.10264015348218551</v>
      </c>
      <c r="J176" s="39">
        <f t="shared" si="84"/>
        <v>0.11053235439117257</v>
      </c>
      <c r="K176" s="39">
        <f t="shared" si="84"/>
        <v>3.5187894891354939E-2</v>
      </c>
      <c r="L176" s="39">
        <f t="shared" si="84"/>
        <v>6.423243274067382E-2</v>
      </c>
      <c r="M176" s="39">
        <f t="shared" si="84"/>
        <v>0.13855824983554785</v>
      </c>
      <c r="N176" s="39">
        <f t="shared" si="84"/>
        <v>5.3164055358628788E-2</v>
      </c>
      <c r="O176" s="39">
        <f t="shared" si="84"/>
        <v>7.9462410181104309E-2</v>
      </c>
      <c r="P176" s="39">
        <f t="shared" si="84"/>
        <v>7.2669626481213417E-2</v>
      </c>
      <c r="Q176" s="39">
        <f t="shared" si="84"/>
        <v>7.3821763484245365E-2</v>
      </c>
      <c r="R176" s="39">
        <f t="shared" si="84"/>
        <v>0.10513255552728623</v>
      </c>
      <c r="S176" s="39">
        <f t="shared" si="84"/>
        <v>4.6923014567936572E-2</v>
      </c>
      <c r="T176" s="39">
        <f t="shared" si="84"/>
        <v>2.6542851072415885E-2</v>
      </c>
      <c r="U176" s="39">
        <f t="shared" si="84"/>
        <v>2.3197576716724972E-2</v>
      </c>
      <c r="V176" s="39">
        <f t="shared" si="84"/>
        <v>1.9957033190752795E-2</v>
      </c>
      <c r="W176" s="39">
        <f t="shared" si="84"/>
        <v>3.0685272472689252E-2</v>
      </c>
      <c r="X176" s="39">
        <f t="shared" si="84"/>
        <v>1.7292755606067738E-2</v>
      </c>
    </row>
    <row r="177" spans="2:59" ht="15.75" thickBot="1" x14ac:dyDescent="0.3">
      <c r="D177" s="31"/>
      <c r="E177" s="31">
        <f>'2025 Data'!E176</f>
        <v>0</v>
      </c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</row>
    <row r="178" spans="2:59" ht="15.75" thickBot="1" x14ac:dyDescent="0.3">
      <c r="D178" s="87" t="str">
        <f>D90</f>
        <v>Banking Operating Profit</v>
      </c>
      <c r="E178" s="50" t="str">
        <f>'2025 Data'!E177</f>
        <v>% of Totals</v>
      </c>
      <c r="F178" s="88">
        <f>F90/$F90</f>
        <v>1</v>
      </c>
      <c r="G178" s="7"/>
      <c r="H178" s="7"/>
      <c r="I178" s="85">
        <f t="shared" ref="I178:X178" si="85">I90/$F90</f>
        <v>0.23727415526402135</v>
      </c>
      <c r="J178" s="85">
        <f t="shared" si="85"/>
        <v>0.40166820342302179</v>
      </c>
      <c r="K178" s="85">
        <f t="shared" si="85"/>
        <v>4.637928063721642E-2</v>
      </c>
      <c r="L178" s="85">
        <f t="shared" si="85"/>
        <v>3.5102128392647279E-2</v>
      </c>
      <c r="M178" s="85">
        <f t="shared" si="85"/>
        <v>6.2545609037384153E-2</v>
      </c>
      <c r="N178" s="85">
        <f t="shared" si="85"/>
        <v>4.8171902035892021E-2</v>
      </c>
      <c r="O178" s="85">
        <f t="shared" si="85"/>
        <v>0.13583884193077875</v>
      </c>
      <c r="P178" s="85">
        <f t="shared" si="85"/>
        <v>4.2438783671017083E-2</v>
      </c>
      <c r="Q178" s="85">
        <f t="shared" si="85"/>
        <v>1.2806811346801068E-2</v>
      </c>
      <c r="R178" s="85">
        <f t="shared" si="85"/>
        <v>-2.6066227396186033E-2</v>
      </c>
      <c r="S178" s="85">
        <f t="shared" si="85"/>
        <v>-2.3310524972817103E-3</v>
      </c>
      <c r="T178" s="85">
        <f t="shared" si="85"/>
        <v>-1.4349943305887342E-2</v>
      </c>
      <c r="U178" s="85">
        <f t="shared" si="85"/>
        <v>-3.9103879207346686E-3</v>
      </c>
      <c r="V178" s="85">
        <f t="shared" si="85"/>
        <v>-5.4976703810125519E-3</v>
      </c>
      <c r="W178" s="85">
        <f t="shared" si="85"/>
        <v>4.2166673072524703E-2</v>
      </c>
      <c r="X178" s="86">
        <f t="shared" si="85"/>
        <v>-1.223710731020235E-2</v>
      </c>
    </row>
    <row r="179" spans="2:59" x14ac:dyDescent="0.25"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 spans="2:59" x14ac:dyDescent="0.25"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 spans="2:59" x14ac:dyDescent="0.25">
      <c r="B181" s="42"/>
      <c r="C181" s="42" t="str">
        <f>'2025 Data'!C180</f>
        <v>Revenue Mix Comparison across branches</v>
      </c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</row>
    <row r="182" spans="2:59" x14ac:dyDescent="0.25">
      <c r="D182" s="31"/>
      <c r="E182" s="31"/>
      <c r="F182" s="31"/>
      <c r="G182" s="31"/>
      <c r="H182" s="31"/>
      <c r="I182" s="31"/>
      <c r="J182" s="31"/>
      <c r="K182" s="39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</row>
    <row r="183" spans="2:59" x14ac:dyDescent="0.25">
      <c r="C183" s="31" t="str">
        <f>D95</f>
        <v>Interest on short term loan me</v>
      </c>
      <c r="D183" s="31"/>
      <c r="E183" s="31" t="str">
        <f>'2025 Data'!E182</f>
        <v>% of Branch Revenue</v>
      </c>
      <c r="F183" s="31"/>
      <c r="G183" s="31"/>
      <c r="H183" s="31"/>
      <c r="I183" s="39">
        <f t="shared" ref="I183:X183" si="86">I6/I$56</f>
        <v>7.9798639995829722E-3</v>
      </c>
      <c r="J183" s="39">
        <f t="shared" si="86"/>
        <v>5.0544520651208145E-2</v>
      </c>
      <c r="K183" s="39">
        <f t="shared" si="86"/>
        <v>6.7692078205486464E-2</v>
      </c>
      <c r="L183" s="39">
        <f t="shared" si="86"/>
        <v>3.9537079308124203E-2</v>
      </c>
      <c r="M183" s="39">
        <f t="shared" si="86"/>
        <v>4.4882073629377857E-2</v>
      </c>
      <c r="N183" s="39">
        <f t="shared" si="86"/>
        <v>1.2240457560792497E-2</v>
      </c>
      <c r="O183" s="39">
        <f t="shared" si="86"/>
        <v>1.8993202782511903E-2</v>
      </c>
      <c r="P183" s="39">
        <f t="shared" si="86"/>
        <v>2.9163493440867435E-2</v>
      </c>
      <c r="Q183" s="39">
        <f t="shared" si="86"/>
        <v>2.0043992546601203E-3</v>
      </c>
      <c r="R183" s="39">
        <f t="shared" si="86"/>
        <v>1.279001403945449E-3</v>
      </c>
      <c r="S183" s="39">
        <f t="shared" si="86"/>
        <v>0.28947620413811664</v>
      </c>
      <c r="T183" s="39">
        <f t="shared" si="86"/>
        <v>4.3676663265192778E-3</v>
      </c>
      <c r="U183" s="39">
        <f t="shared" si="86"/>
        <v>1.9939498618391928E-2</v>
      </c>
      <c r="V183" s="39">
        <f t="shared" si="86"/>
        <v>5.243683216988493E-3</v>
      </c>
      <c r="W183" s="39">
        <f t="shared" si="86"/>
        <v>0.18079834243607559</v>
      </c>
      <c r="X183" s="39">
        <f t="shared" si="86"/>
        <v>9.6151418266085548E-3</v>
      </c>
    </row>
    <row r="184" spans="2:59" x14ac:dyDescent="0.25">
      <c r="C184" s="31" t="str">
        <f t="shared" ref="C184:C233" si="87">D96</f>
        <v>Interest on short term loan Cu</v>
      </c>
      <c r="D184" s="31"/>
      <c r="E184" s="31" t="str">
        <f>'2025 Data'!E183</f>
        <v>% of Branch Revenue</v>
      </c>
      <c r="F184" s="31"/>
      <c r="G184" s="31"/>
      <c r="H184" s="31"/>
      <c r="I184" s="39">
        <f t="shared" ref="I184:X184" si="88">I7/I$56</f>
        <v>3.9081223007141112E-2</v>
      </c>
      <c r="J184" s="39">
        <f t="shared" si="88"/>
        <v>2.5266027887097035E-2</v>
      </c>
      <c r="K184" s="39">
        <f t="shared" si="88"/>
        <v>4.703263176625562E-2</v>
      </c>
      <c r="L184" s="39">
        <f t="shared" si="88"/>
        <v>0.10985416496624077</v>
      </c>
      <c r="M184" s="39">
        <f t="shared" si="88"/>
        <v>5.8641261970573733E-2</v>
      </c>
      <c r="N184" s="39">
        <f t="shared" si="88"/>
        <v>0.10098458719225344</v>
      </c>
      <c r="O184" s="39">
        <f t="shared" si="88"/>
        <v>5.1900536924983358E-2</v>
      </c>
      <c r="P184" s="39">
        <f t="shared" si="88"/>
        <v>0.10643867280631975</v>
      </c>
      <c r="Q184" s="39">
        <f t="shared" si="88"/>
        <v>6.0637218093244447E-2</v>
      </c>
      <c r="R184" s="39">
        <f t="shared" si="88"/>
        <v>0.1088580892808193</v>
      </c>
      <c r="S184" s="39">
        <f t="shared" si="88"/>
        <v>8.4235412530506149E-2</v>
      </c>
      <c r="T184" s="39">
        <f t="shared" si="88"/>
        <v>0.1120394306966196</v>
      </c>
      <c r="U184" s="39">
        <f t="shared" si="88"/>
        <v>0.12920235898881449</v>
      </c>
      <c r="V184" s="39">
        <f t="shared" si="88"/>
        <v>9.1571660274773745E-2</v>
      </c>
      <c r="W184" s="39">
        <f t="shared" si="88"/>
        <v>0.11668289801993578</v>
      </c>
      <c r="X184" s="39">
        <f t="shared" si="88"/>
        <v>0.16923913882203123</v>
      </c>
    </row>
    <row r="185" spans="2:59" x14ac:dyDescent="0.25">
      <c r="C185" s="31" t="str">
        <f t="shared" si="87"/>
        <v>Interest on medium term loan m</v>
      </c>
      <c r="D185" s="31"/>
      <c r="E185" s="31" t="str">
        <f>'2025 Data'!E184</f>
        <v>% of Branch Revenue</v>
      </c>
      <c r="F185" s="31"/>
      <c r="G185" s="31"/>
      <c r="H185" s="31"/>
      <c r="I185" s="39">
        <f t="shared" ref="I185:X185" si="89">I8/I$56</f>
        <v>2.7096701595918028E-2</v>
      </c>
      <c r="J185" s="39">
        <f t="shared" si="89"/>
        <v>0.11388295032266807</v>
      </c>
      <c r="K185" s="39">
        <f t="shared" si="89"/>
        <v>7.0421023436605237E-2</v>
      </c>
      <c r="L185" s="39">
        <f t="shared" si="89"/>
        <v>3.0636409044169938E-2</v>
      </c>
      <c r="M185" s="39">
        <f t="shared" si="89"/>
        <v>0.10158811914030824</v>
      </c>
      <c r="N185" s="39">
        <f t="shared" si="89"/>
        <v>1.2803730395945888E-2</v>
      </c>
      <c r="O185" s="39">
        <f t="shared" si="89"/>
        <v>3.6104675630549622E-2</v>
      </c>
      <c r="P185" s="39">
        <f t="shared" si="89"/>
        <v>9.5963741585527826E-2</v>
      </c>
      <c r="Q185" s="39">
        <f t="shared" si="89"/>
        <v>2.9589156039350747E-2</v>
      </c>
      <c r="R185" s="39">
        <f t="shared" si="89"/>
        <v>0</v>
      </c>
      <c r="S185" s="39">
        <f t="shared" si="89"/>
        <v>1.4350034959378543E-2</v>
      </c>
      <c r="T185" s="39">
        <f t="shared" si="89"/>
        <v>0</v>
      </c>
      <c r="U185" s="39">
        <f t="shared" si="89"/>
        <v>0</v>
      </c>
      <c r="V185" s="39">
        <f t="shared" si="89"/>
        <v>3.0497709638541759E-2</v>
      </c>
      <c r="W185" s="39">
        <f t="shared" si="89"/>
        <v>1.2704423231133686E-2</v>
      </c>
      <c r="X185" s="39">
        <f t="shared" si="89"/>
        <v>0</v>
      </c>
    </row>
    <row r="186" spans="2:59" x14ac:dyDescent="0.25">
      <c r="C186" s="31" t="str">
        <f t="shared" si="87"/>
        <v>Interest on medium term loan C</v>
      </c>
      <c r="D186" s="31"/>
      <c r="E186" s="31" t="str">
        <f>'2025 Data'!E185</f>
        <v>% of Branch Revenue</v>
      </c>
      <c r="F186" s="31"/>
      <c r="G186" s="31"/>
      <c r="H186" s="31"/>
      <c r="I186" s="39">
        <f t="shared" ref="I186:X186" si="90">I9/I$56</f>
        <v>0.24750363355966581</v>
      </c>
      <c r="J186" s="39">
        <f t="shared" si="90"/>
        <v>0.20411531063251417</v>
      </c>
      <c r="K186" s="39">
        <f t="shared" si="90"/>
        <v>7.9007171028498635E-2</v>
      </c>
      <c r="L186" s="39">
        <f t="shared" si="90"/>
        <v>0.27178787432638729</v>
      </c>
      <c r="M186" s="39">
        <f t="shared" si="90"/>
        <v>0.17956003677477897</v>
      </c>
      <c r="N186" s="39">
        <f t="shared" si="90"/>
        <v>0.45521898215327239</v>
      </c>
      <c r="O186" s="39">
        <f t="shared" si="90"/>
        <v>0.32283584267402293</v>
      </c>
      <c r="P186" s="39">
        <f t="shared" si="90"/>
        <v>0.14960841165419672</v>
      </c>
      <c r="Q186" s="39">
        <f t="shared" si="90"/>
        <v>0.29851052535180861</v>
      </c>
      <c r="R186" s="39">
        <f t="shared" si="90"/>
        <v>0.32743640840157717</v>
      </c>
      <c r="S186" s="39">
        <f t="shared" si="90"/>
        <v>0.35838774645842059</v>
      </c>
      <c r="T186" s="39">
        <f t="shared" si="90"/>
        <v>0.19606600952058537</v>
      </c>
      <c r="U186" s="39">
        <f t="shared" si="90"/>
        <v>0.48116592625631804</v>
      </c>
      <c r="V186" s="39">
        <f t="shared" si="90"/>
        <v>0.33194304500379296</v>
      </c>
      <c r="W186" s="39">
        <f t="shared" si="90"/>
        <v>0.18727601203360708</v>
      </c>
      <c r="X186" s="39">
        <f t="shared" si="90"/>
        <v>0.12462356703857198</v>
      </c>
    </row>
    <row r="187" spans="2:59" x14ac:dyDescent="0.25">
      <c r="C187" s="31" t="str">
        <f t="shared" si="87"/>
        <v>Interest on staff loan</v>
      </c>
      <c r="D187" s="31"/>
      <c r="E187" s="31" t="str">
        <f>'2025 Data'!E186</f>
        <v>% of Branch Revenue</v>
      </c>
      <c r="F187" s="31"/>
      <c r="G187" s="31"/>
      <c r="H187" s="31"/>
      <c r="I187" s="39">
        <f t="shared" ref="I187:X187" si="91">I10/I$56</f>
        <v>0.13208478005745455</v>
      </c>
      <c r="J187" s="39">
        <f t="shared" si="91"/>
        <v>0</v>
      </c>
      <c r="K187" s="39">
        <f t="shared" si="91"/>
        <v>0</v>
      </c>
      <c r="L187" s="39">
        <f t="shared" si="91"/>
        <v>0</v>
      </c>
      <c r="M187" s="39">
        <f t="shared" si="91"/>
        <v>0</v>
      </c>
      <c r="N187" s="39">
        <f t="shared" si="91"/>
        <v>0</v>
      </c>
      <c r="O187" s="39">
        <f t="shared" si="91"/>
        <v>0</v>
      </c>
      <c r="P187" s="39">
        <f t="shared" si="91"/>
        <v>0</v>
      </c>
      <c r="Q187" s="39">
        <f t="shared" si="91"/>
        <v>0</v>
      </c>
      <c r="R187" s="39">
        <f t="shared" si="91"/>
        <v>0</v>
      </c>
      <c r="S187" s="39">
        <f t="shared" si="91"/>
        <v>0</v>
      </c>
      <c r="T187" s="39">
        <f t="shared" si="91"/>
        <v>0</v>
      </c>
      <c r="U187" s="39">
        <f t="shared" si="91"/>
        <v>0</v>
      </c>
      <c r="V187" s="39">
        <f t="shared" si="91"/>
        <v>0</v>
      </c>
      <c r="W187" s="39">
        <f t="shared" si="91"/>
        <v>0</v>
      </c>
      <c r="X187" s="39">
        <f t="shared" si="91"/>
        <v>0</v>
      </c>
    </row>
    <row r="188" spans="2:59" x14ac:dyDescent="0.25">
      <c r="C188" s="31" t="str">
        <f t="shared" si="87"/>
        <v>Interest on development loan soc</v>
      </c>
      <c r="D188" s="31"/>
      <c r="E188" s="31" t="str">
        <f>'2025 Data'!E187</f>
        <v>% of Branch Revenue</v>
      </c>
      <c r="F188" s="31"/>
      <c r="G188" s="31"/>
      <c r="H188" s="31"/>
      <c r="I188" s="39">
        <f t="shared" ref="I188:X188" si="92">I11/I$56</f>
        <v>2.3489092587858907E-2</v>
      </c>
      <c r="J188" s="39">
        <f t="shared" si="92"/>
        <v>0</v>
      </c>
      <c r="K188" s="39">
        <f t="shared" si="92"/>
        <v>5.3471797733873586E-4</v>
      </c>
      <c r="L188" s="39">
        <f t="shared" si="92"/>
        <v>2.9314919396883504E-2</v>
      </c>
      <c r="M188" s="39">
        <f t="shared" si="92"/>
        <v>0</v>
      </c>
      <c r="N188" s="39">
        <f t="shared" si="92"/>
        <v>0</v>
      </c>
      <c r="O188" s="39">
        <f t="shared" si="92"/>
        <v>1.6246081825943417E-2</v>
      </c>
      <c r="P188" s="39">
        <f t="shared" si="92"/>
        <v>0</v>
      </c>
      <c r="Q188" s="39">
        <f t="shared" si="92"/>
        <v>7.2526745906426521E-2</v>
      </c>
      <c r="R188" s="39">
        <f t="shared" si="92"/>
        <v>0</v>
      </c>
      <c r="S188" s="39">
        <f t="shared" si="92"/>
        <v>0</v>
      </c>
      <c r="T188" s="39">
        <f t="shared" si="92"/>
        <v>0</v>
      </c>
      <c r="U188" s="39">
        <f t="shared" si="92"/>
        <v>0</v>
      </c>
      <c r="V188" s="39">
        <f t="shared" si="92"/>
        <v>4.1095040452864856E-2</v>
      </c>
      <c r="W188" s="39">
        <f t="shared" si="92"/>
        <v>0</v>
      </c>
      <c r="X188" s="39">
        <f t="shared" si="92"/>
        <v>0</v>
      </c>
    </row>
    <row r="189" spans="2:59" x14ac:dyDescent="0.25">
      <c r="C189" s="31" t="str">
        <f t="shared" si="87"/>
        <v>Interest on overdraft members + society</v>
      </c>
      <c r="D189" s="31"/>
      <c r="E189" s="31" t="str">
        <f>'2025 Data'!E188</f>
        <v>% of Branch Revenue</v>
      </c>
      <c r="F189" s="31"/>
      <c r="G189" s="31"/>
      <c r="H189" s="31"/>
      <c r="I189" s="39">
        <f t="shared" ref="I189:X189" si="93">I12/I$56</f>
        <v>2.6830101170559693E-2</v>
      </c>
      <c r="J189" s="39">
        <f t="shared" si="93"/>
        <v>1.9209523803173627E-3</v>
      </c>
      <c r="K189" s="39">
        <f t="shared" si="93"/>
        <v>4.7768836918812702E-5</v>
      </c>
      <c r="L189" s="39">
        <f t="shared" si="93"/>
        <v>1.3923236949613631E-2</v>
      </c>
      <c r="M189" s="39">
        <f t="shared" si="93"/>
        <v>1.4612458117749713E-2</v>
      </c>
      <c r="N189" s="39">
        <f t="shared" si="93"/>
        <v>2.6926903694674234E-3</v>
      </c>
      <c r="O189" s="39">
        <f t="shared" si="93"/>
        <v>4.6478242518684099E-2</v>
      </c>
      <c r="P189" s="39">
        <f t="shared" si="93"/>
        <v>7.4973581162077446E-4</v>
      </c>
      <c r="Q189" s="39">
        <f t="shared" si="93"/>
        <v>4.7236912967233348E-2</v>
      </c>
      <c r="R189" s="39">
        <f t="shared" si="93"/>
        <v>9.5902225536297667E-2</v>
      </c>
      <c r="S189" s="39">
        <f t="shared" si="93"/>
        <v>3.4650088942109638E-3</v>
      </c>
      <c r="T189" s="39">
        <f t="shared" si="93"/>
        <v>-2.1085918525927103E-3</v>
      </c>
      <c r="U189" s="39">
        <f t="shared" si="93"/>
        <v>1.6788958339083757E-2</v>
      </c>
      <c r="V189" s="39">
        <f t="shared" si="93"/>
        <v>2.0695624021749605E-3</v>
      </c>
      <c r="W189" s="39">
        <f t="shared" si="93"/>
        <v>1.56300103733121E-4</v>
      </c>
      <c r="X189" s="39">
        <f t="shared" si="93"/>
        <v>4.5903853172648956E-3</v>
      </c>
    </row>
    <row r="190" spans="2:59" x14ac:dyDescent="0.25">
      <c r="C190" s="31" t="str">
        <f t="shared" si="87"/>
        <v>Interest on Overdue loan</v>
      </c>
      <c r="D190" s="31"/>
      <c r="E190" s="31" t="str">
        <f>'2025 Data'!E189</f>
        <v>% of Branch Revenue</v>
      </c>
      <c r="F190" s="31"/>
      <c r="G190" s="31"/>
      <c r="H190" s="31"/>
      <c r="I190" s="39">
        <f t="shared" ref="I190:X190" si="94">I13/I$56</f>
        <v>2.1510456799175202E-3</v>
      </c>
      <c r="J190" s="39">
        <f t="shared" si="94"/>
        <v>2.5752102526558338E-3</v>
      </c>
      <c r="K190" s="39">
        <f t="shared" si="94"/>
        <v>4.099644014907435E-3</v>
      </c>
      <c r="L190" s="39">
        <f t="shared" si="94"/>
        <v>8.9112535845628799E-3</v>
      </c>
      <c r="M190" s="39">
        <f t="shared" si="94"/>
        <v>7.1449736543054802E-3</v>
      </c>
      <c r="N190" s="39">
        <f t="shared" si="94"/>
        <v>6.5065984254193264E-4</v>
      </c>
      <c r="O190" s="39">
        <f t="shared" si="94"/>
        <v>4.1488470108377914E-3</v>
      </c>
      <c r="P190" s="39">
        <f t="shared" si="94"/>
        <v>2.5991519886723324E-3</v>
      </c>
      <c r="Q190" s="39">
        <f t="shared" si="94"/>
        <v>0</v>
      </c>
      <c r="R190" s="39">
        <f t="shared" si="94"/>
        <v>0</v>
      </c>
      <c r="S190" s="39">
        <f t="shared" si="94"/>
        <v>0</v>
      </c>
      <c r="T190" s="39">
        <f t="shared" si="94"/>
        <v>0</v>
      </c>
      <c r="U190" s="39">
        <f t="shared" si="94"/>
        <v>0</v>
      </c>
      <c r="V190" s="39">
        <f t="shared" si="94"/>
        <v>0</v>
      </c>
      <c r="W190" s="39">
        <f t="shared" si="94"/>
        <v>0</v>
      </c>
      <c r="X190" s="39">
        <f t="shared" si="94"/>
        <v>0</v>
      </c>
    </row>
    <row r="191" spans="2:59" x14ac:dyDescent="0.25">
      <c r="C191" s="31" t="str">
        <f t="shared" si="87"/>
        <v>Advance interest (crop + salary + staff + soko + mfi + raw)</v>
      </c>
      <c r="D191" s="31"/>
      <c r="E191" s="31" t="str">
        <f>'2025 Data'!E190</f>
        <v>% of Branch Revenue</v>
      </c>
      <c r="F191" s="31"/>
      <c r="G191" s="31"/>
      <c r="H191" s="31"/>
      <c r="I191" s="39">
        <f t="shared" ref="I191:X191" si="95">I14/I$56</f>
        <v>7.0877485187952366E-2</v>
      </c>
      <c r="J191" s="39">
        <f t="shared" si="95"/>
        <v>5.9365189928794249E-2</v>
      </c>
      <c r="K191" s="39">
        <f t="shared" si="95"/>
        <v>7.5652286607370875E-2</v>
      </c>
      <c r="L191" s="39">
        <f t="shared" si="95"/>
        <v>0.10126074294910672</v>
      </c>
      <c r="M191" s="39">
        <f t="shared" si="95"/>
        <v>7.335628074284993E-2</v>
      </c>
      <c r="N191" s="39">
        <f t="shared" si="95"/>
        <v>7.3015457207611753E-2</v>
      </c>
      <c r="O191" s="39">
        <f t="shared" si="95"/>
        <v>7.449219696677721E-2</v>
      </c>
      <c r="P191" s="39">
        <f t="shared" si="95"/>
        <v>8.1350007493966037E-2</v>
      </c>
      <c r="Q191" s="39">
        <f t="shared" si="95"/>
        <v>6.5942613657935314E-2</v>
      </c>
      <c r="R191" s="39">
        <f t="shared" si="95"/>
        <v>7.9839492204863999E-2</v>
      </c>
      <c r="S191" s="39">
        <f t="shared" si="95"/>
        <v>7.0551705442535306E-2</v>
      </c>
      <c r="T191" s="39">
        <f t="shared" si="95"/>
        <v>0.13147670489421062</v>
      </c>
      <c r="U191" s="39">
        <f t="shared" si="95"/>
        <v>9.0140023741007255E-2</v>
      </c>
      <c r="V191" s="39">
        <f t="shared" si="95"/>
        <v>0.1282207200127698</v>
      </c>
      <c r="W191" s="39">
        <f t="shared" si="95"/>
        <v>0.10515268262891654</v>
      </c>
      <c r="X191" s="39">
        <f t="shared" si="95"/>
        <v>0.11931311435492611</v>
      </c>
    </row>
    <row r="192" spans="2:59" x14ac:dyDescent="0.25">
      <c r="C192" s="31" t="str">
        <f t="shared" si="87"/>
        <v>Interest on shirika loan</v>
      </c>
      <c r="D192" s="31"/>
      <c r="E192" s="31" t="str">
        <f>'2025 Data'!E191</f>
        <v>% of Branch Revenue</v>
      </c>
      <c r="F192" s="31"/>
      <c r="G192" s="31"/>
      <c r="H192" s="31"/>
      <c r="I192" s="39">
        <f t="shared" ref="I192:X192" si="96">I15/I$56</f>
        <v>0</v>
      </c>
      <c r="J192" s="39">
        <f t="shared" si="96"/>
        <v>0</v>
      </c>
      <c r="K192" s="39">
        <f t="shared" si="96"/>
        <v>6.0506321418139048E-4</v>
      </c>
      <c r="L192" s="39">
        <f t="shared" si="96"/>
        <v>7.5183948656445494E-3</v>
      </c>
      <c r="M192" s="39">
        <f t="shared" si="96"/>
        <v>1.3747524246062643E-3</v>
      </c>
      <c r="N192" s="39">
        <f t="shared" si="96"/>
        <v>2.1641826287545636E-2</v>
      </c>
      <c r="O192" s="39">
        <f t="shared" si="96"/>
        <v>1.5237847087266068E-2</v>
      </c>
      <c r="P192" s="39">
        <f t="shared" si="96"/>
        <v>1.1263184169120996E-2</v>
      </c>
      <c r="Q192" s="39">
        <f t="shared" si="96"/>
        <v>0</v>
      </c>
      <c r="R192" s="39">
        <f t="shared" si="96"/>
        <v>0</v>
      </c>
      <c r="S192" s="39">
        <f t="shared" si="96"/>
        <v>2.5675121089848924E-3</v>
      </c>
      <c r="T192" s="39">
        <f t="shared" si="96"/>
        <v>0</v>
      </c>
      <c r="U192" s="39">
        <f t="shared" si="96"/>
        <v>1.5056543868549827E-3</v>
      </c>
      <c r="V192" s="39">
        <f t="shared" si="96"/>
        <v>0</v>
      </c>
      <c r="W192" s="39">
        <f t="shared" si="96"/>
        <v>5.1013251988610543E-2</v>
      </c>
      <c r="X192" s="39">
        <f t="shared" si="96"/>
        <v>2.2514906789415962E-3</v>
      </c>
    </row>
    <row r="193" spans="3:24" x14ac:dyDescent="0.25">
      <c r="C193" s="31" t="str">
        <f t="shared" si="87"/>
        <v>Interest on bonus advance loan</v>
      </c>
      <c r="D193" s="31"/>
      <c r="E193" s="31" t="str">
        <f>'2025 Data'!E192</f>
        <v>% of Branch Revenue</v>
      </c>
      <c r="F193" s="31"/>
      <c r="G193" s="31"/>
      <c r="H193" s="31"/>
      <c r="I193" s="39">
        <f t="shared" ref="I193:X193" si="97">I16/I$56</f>
        <v>0</v>
      </c>
      <c r="J193" s="39">
        <f t="shared" si="97"/>
        <v>3.9700119322026266E-2</v>
      </c>
      <c r="K193" s="39">
        <f t="shared" si="97"/>
        <v>0.14207027627810545</v>
      </c>
      <c r="L193" s="39">
        <f t="shared" si="97"/>
        <v>3.1836659138580188E-3</v>
      </c>
      <c r="M193" s="39">
        <f t="shared" si="97"/>
        <v>9.1565989386071384E-3</v>
      </c>
      <c r="N193" s="39">
        <f t="shared" si="97"/>
        <v>0</v>
      </c>
      <c r="O193" s="39">
        <f t="shared" si="97"/>
        <v>0</v>
      </c>
      <c r="P193" s="39">
        <f t="shared" si="97"/>
        <v>0</v>
      </c>
      <c r="Q193" s="39">
        <f t="shared" si="97"/>
        <v>0</v>
      </c>
      <c r="R193" s="39">
        <f t="shared" si="97"/>
        <v>0</v>
      </c>
      <c r="S193" s="39">
        <f t="shared" si="97"/>
        <v>2.1343358722432707E-2</v>
      </c>
      <c r="T193" s="39">
        <f t="shared" si="97"/>
        <v>0</v>
      </c>
      <c r="U193" s="39">
        <f t="shared" si="97"/>
        <v>0</v>
      </c>
      <c r="V193" s="39">
        <f t="shared" si="97"/>
        <v>0</v>
      </c>
      <c r="W193" s="39">
        <f t="shared" si="97"/>
        <v>3.5043654551284796E-2</v>
      </c>
      <c r="X193" s="39">
        <f t="shared" si="97"/>
        <v>0</v>
      </c>
    </row>
    <row r="194" spans="3:24" x14ac:dyDescent="0.25">
      <c r="C194" s="31" t="str">
        <f t="shared" si="87"/>
        <v>Interest on Premium Financing + penalty interest (raw + loan recovery)</v>
      </c>
      <c r="D194" s="31"/>
      <c r="E194" s="31" t="str">
        <f>'2025 Data'!E193</f>
        <v>% of Branch Revenue</v>
      </c>
      <c r="F194" s="31"/>
      <c r="G194" s="31"/>
      <c r="H194" s="31"/>
      <c r="I194" s="39">
        <f t="shared" ref="I194:X194" si="98">I17/I$56</f>
        <v>1.2133792800917483E-2</v>
      </c>
      <c r="J194" s="39">
        <f t="shared" si="98"/>
        <v>6.4312514432771787E-3</v>
      </c>
      <c r="K194" s="39">
        <f t="shared" si="98"/>
        <v>9.4281452836069337E-3</v>
      </c>
      <c r="L194" s="39">
        <f t="shared" si="98"/>
        <v>1.7942106502571824E-2</v>
      </c>
      <c r="M194" s="39">
        <f t="shared" si="98"/>
        <v>7.3396626573132059E-3</v>
      </c>
      <c r="N194" s="39">
        <f t="shared" si="98"/>
        <v>7.7611771615166188E-3</v>
      </c>
      <c r="O194" s="39">
        <f t="shared" si="98"/>
        <v>1.2777638376010144E-2</v>
      </c>
      <c r="P194" s="39">
        <f t="shared" si="98"/>
        <v>1.0866903720336484E-2</v>
      </c>
      <c r="Q194" s="39">
        <f t="shared" si="98"/>
        <v>3.3794686438516866E-2</v>
      </c>
      <c r="R194" s="39">
        <f t="shared" si="98"/>
        <v>1.4306245430115402E-2</v>
      </c>
      <c r="S194" s="39">
        <f t="shared" si="98"/>
        <v>2.8093520709612078E-2</v>
      </c>
      <c r="T194" s="39">
        <f t="shared" si="98"/>
        <v>1.938762845473762E-2</v>
      </c>
      <c r="U194" s="39">
        <f t="shared" si="98"/>
        <v>7.1336198245471336E-3</v>
      </c>
      <c r="V194" s="39">
        <f t="shared" si="98"/>
        <v>4.0198431441048395E-3</v>
      </c>
      <c r="W194" s="39">
        <f t="shared" si="98"/>
        <v>4.8330311119314752E-3</v>
      </c>
      <c r="X194" s="39">
        <f t="shared" si="98"/>
        <v>8.237337594173352E-3</v>
      </c>
    </row>
    <row r="195" spans="3:24" x14ac:dyDescent="0.25">
      <c r="C195" s="31" t="str">
        <f t="shared" si="87"/>
        <v>Interest on MFI loan</v>
      </c>
      <c r="E195" t="str">
        <f>'2025 Data'!E194</f>
        <v>% of Branch Revenue</v>
      </c>
      <c r="I195" s="39">
        <f t="shared" ref="I195:X195" si="99">I18/I$56</f>
        <v>4.434563288971803E-3</v>
      </c>
      <c r="J195" s="39">
        <f t="shared" si="99"/>
        <v>5.6803027976073664E-3</v>
      </c>
      <c r="K195" s="39">
        <f t="shared" si="99"/>
        <v>2.0595536653583166E-3</v>
      </c>
      <c r="L195" s="39">
        <f t="shared" si="99"/>
        <v>3.1653364617264562E-2</v>
      </c>
      <c r="M195" s="39">
        <f t="shared" si="99"/>
        <v>5.7128103828980375E-3</v>
      </c>
      <c r="N195" s="39">
        <f t="shared" si="99"/>
        <v>1.5540194996135194E-2</v>
      </c>
      <c r="O195" s="39">
        <f t="shared" si="99"/>
        <v>5.6215621564401928E-2</v>
      </c>
      <c r="P195" s="39">
        <f t="shared" si="99"/>
        <v>4.5658597159748716E-2</v>
      </c>
      <c r="Q195" s="39">
        <f t="shared" si="99"/>
        <v>1.9928878640793998E-2</v>
      </c>
      <c r="R195" s="39">
        <f t="shared" si="99"/>
        <v>2.4475442013828473E-3</v>
      </c>
      <c r="S195" s="39">
        <f t="shared" si="99"/>
        <v>1.946965039173403E-3</v>
      </c>
      <c r="T195" s="39">
        <f t="shared" si="99"/>
        <v>0</v>
      </c>
      <c r="U195" s="39">
        <f t="shared" si="99"/>
        <v>0</v>
      </c>
      <c r="V195" s="39">
        <f t="shared" si="99"/>
        <v>0</v>
      </c>
      <c r="W195" s="39">
        <f t="shared" si="99"/>
        <v>4.2672782981175949E-5</v>
      </c>
      <c r="X195" s="39">
        <f t="shared" si="99"/>
        <v>0</v>
      </c>
    </row>
    <row r="196" spans="3:24" x14ac:dyDescent="0.25">
      <c r="C196" s="31" t="str">
        <f t="shared" si="87"/>
        <v>Interest on Jijenge Loan</v>
      </c>
      <c r="E196" t="str">
        <f>'2025 Data'!E195</f>
        <v>% of Branch Revenue</v>
      </c>
      <c r="I196" s="39">
        <f t="shared" ref="I196:X196" si="100">I19/I$56</f>
        <v>0.28320887972326353</v>
      </c>
      <c r="J196" s="39">
        <f t="shared" si="100"/>
        <v>5.8706000743669752E-2</v>
      </c>
      <c r="K196" s="39">
        <f t="shared" si="100"/>
        <v>5.5715258805332256E-2</v>
      </c>
      <c r="L196" s="39">
        <f t="shared" si="100"/>
        <v>6.3508163801684975E-2</v>
      </c>
      <c r="M196" s="39">
        <f t="shared" si="100"/>
        <v>8.0068062600810092E-2</v>
      </c>
      <c r="N196" s="39">
        <f t="shared" si="100"/>
        <v>9.6219956932130771E-2</v>
      </c>
      <c r="O196" s="39">
        <f t="shared" si="100"/>
        <v>8.3288808009552878E-2</v>
      </c>
      <c r="P196" s="39">
        <f t="shared" si="100"/>
        <v>0.18720456308838171</v>
      </c>
      <c r="Q196" s="39">
        <f t="shared" si="100"/>
        <v>0.22853536115638634</v>
      </c>
      <c r="R196" s="39">
        <f t="shared" si="100"/>
        <v>0.21669924748242222</v>
      </c>
      <c r="S196" s="39">
        <f t="shared" si="100"/>
        <v>6.087806983387881E-3</v>
      </c>
      <c r="T196" s="39">
        <f t="shared" si="100"/>
        <v>0.42967173442811535</v>
      </c>
      <c r="U196" s="39">
        <f t="shared" si="100"/>
        <v>8.2700257448010267E-4</v>
      </c>
      <c r="V196" s="39">
        <f t="shared" si="100"/>
        <v>0.12266598298992332</v>
      </c>
      <c r="W196" s="39">
        <f t="shared" si="100"/>
        <v>0.11537675770664575</v>
      </c>
      <c r="X196" s="39">
        <f t="shared" si="100"/>
        <v>3.4050640264902864E-2</v>
      </c>
    </row>
    <row r="197" spans="3:24" x14ac:dyDescent="0.25">
      <c r="C197" s="31" t="str">
        <f t="shared" si="87"/>
        <v xml:space="preserve">Interest on Soko loan </v>
      </c>
      <c r="E197" t="str">
        <f>'2025 Data'!E196</f>
        <v>% of Branch Revenue</v>
      </c>
      <c r="I197" s="39">
        <f t="shared" ref="I197:X197" si="101">I20/I$56</f>
        <v>0</v>
      </c>
      <c r="J197" s="39">
        <f t="shared" si="101"/>
        <v>0</v>
      </c>
      <c r="K197" s="39">
        <f t="shared" si="101"/>
        <v>0</v>
      </c>
      <c r="L197" s="39">
        <f t="shared" si="101"/>
        <v>0</v>
      </c>
      <c r="M197" s="39">
        <f t="shared" si="101"/>
        <v>0</v>
      </c>
      <c r="N197" s="39">
        <f t="shared" si="101"/>
        <v>0</v>
      </c>
      <c r="O197" s="39">
        <f t="shared" si="101"/>
        <v>0</v>
      </c>
      <c r="P197" s="39">
        <f t="shared" si="101"/>
        <v>0</v>
      </c>
      <c r="Q197" s="39">
        <f t="shared" si="101"/>
        <v>0</v>
      </c>
      <c r="R197" s="39">
        <f t="shared" si="101"/>
        <v>0</v>
      </c>
      <c r="S197" s="39">
        <f t="shared" si="101"/>
        <v>1.655237741410651E-4</v>
      </c>
      <c r="T197" s="39">
        <f t="shared" si="101"/>
        <v>0</v>
      </c>
      <c r="U197" s="39">
        <f t="shared" si="101"/>
        <v>0</v>
      </c>
      <c r="V197" s="39">
        <f t="shared" si="101"/>
        <v>0</v>
      </c>
      <c r="W197" s="39">
        <f t="shared" si="101"/>
        <v>0</v>
      </c>
      <c r="X197" s="39">
        <f t="shared" si="101"/>
        <v>0</v>
      </c>
    </row>
    <row r="198" spans="3:24" x14ac:dyDescent="0.25">
      <c r="C198" s="31" t="str">
        <f t="shared" si="87"/>
        <v>Interest on Inuka loan</v>
      </c>
      <c r="E198" t="str">
        <f>'2025 Data'!E197</f>
        <v>% of Branch Revenue</v>
      </c>
      <c r="I198" s="39">
        <f t="shared" ref="I198:X198" si="102">I21/I$56</f>
        <v>7.0092158834751473E-3</v>
      </c>
      <c r="J198" s="39">
        <f t="shared" si="102"/>
        <v>4.5062081570007011E-2</v>
      </c>
      <c r="K198" s="39">
        <f t="shared" si="102"/>
        <v>6.221660797413095E-2</v>
      </c>
      <c r="L198" s="39">
        <f t="shared" si="102"/>
        <v>2.6576514479037021E-2</v>
      </c>
      <c r="M198" s="39">
        <f t="shared" si="102"/>
        <v>2.4352318664822497E-2</v>
      </c>
      <c r="N198" s="39">
        <f t="shared" si="102"/>
        <v>7.1204871068846027E-3</v>
      </c>
      <c r="O198" s="39">
        <f t="shared" si="102"/>
        <v>6.6699492993094675E-3</v>
      </c>
      <c r="P198" s="39">
        <f t="shared" si="102"/>
        <v>2.940470467744408E-2</v>
      </c>
      <c r="Q198" s="39">
        <f t="shared" si="102"/>
        <v>4.8164704679786096E-3</v>
      </c>
      <c r="R198" s="39">
        <f t="shared" si="102"/>
        <v>5.0592440158150529E-4</v>
      </c>
      <c r="S198" s="39">
        <f t="shared" si="102"/>
        <v>3.5032895158214256E-3</v>
      </c>
      <c r="T198" s="39">
        <f t="shared" si="102"/>
        <v>2.0843871382754672E-2</v>
      </c>
      <c r="U198" s="39">
        <f t="shared" si="102"/>
        <v>5.0159167665917341E-3</v>
      </c>
      <c r="V198" s="39">
        <f t="shared" si="102"/>
        <v>5.6824554288462371E-2</v>
      </c>
      <c r="W198" s="39">
        <f t="shared" si="102"/>
        <v>1.8813694278762869E-2</v>
      </c>
      <c r="X198" s="39">
        <f t="shared" si="102"/>
        <v>3.3683013914533759E-2</v>
      </c>
    </row>
    <row r="199" spans="3:24" x14ac:dyDescent="0.25">
      <c r="C199" s="31" t="str">
        <f t="shared" si="87"/>
        <v>Interest on youthbiz loan</v>
      </c>
      <c r="E199" t="str">
        <f>'2025 Data'!E198</f>
        <v>% of Branch Revenue</v>
      </c>
      <c r="I199" s="39">
        <f t="shared" ref="I199:X199" si="103">I22/I$56</f>
        <v>0</v>
      </c>
      <c r="J199" s="39">
        <f t="shared" si="103"/>
        <v>0</v>
      </c>
      <c r="K199" s="39">
        <f t="shared" si="103"/>
        <v>0</v>
      </c>
      <c r="L199" s="39">
        <f t="shared" si="103"/>
        <v>0</v>
      </c>
      <c r="M199" s="39">
        <f t="shared" si="103"/>
        <v>0</v>
      </c>
      <c r="N199" s="39">
        <f t="shared" si="103"/>
        <v>0</v>
      </c>
      <c r="O199" s="39">
        <f t="shared" si="103"/>
        <v>0</v>
      </c>
      <c r="P199" s="39">
        <f t="shared" si="103"/>
        <v>0</v>
      </c>
      <c r="Q199" s="39">
        <f t="shared" si="103"/>
        <v>0</v>
      </c>
      <c r="R199" s="39">
        <f t="shared" si="103"/>
        <v>0</v>
      </c>
      <c r="S199" s="39">
        <f t="shared" si="103"/>
        <v>0</v>
      </c>
      <c r="T199" s="39">
        <f t="shared" si="103"/>
        <v>0</v>
      </c>
      <c r="U199" s="39">
        <f t="shared" si="103"/>
        <v>0</v>
      </c>
      <c r="V199" s="39">
        <f t="shared" si="103"/>
        <v>0</v>
      </c>
      <c r="W199" s="39">
        <f t="shared" si="103"/>
        <v>0</v>
      </c>
      <c r="X199" s="39">
        <f t="shared" si="103"/>
        <v>0</v>
      </c>
    </row>
    <row r="200" spans="3:24" x14ac:dyDescent="0.25">
      <c r="C200" s="31" t="str">
        <f t="shared" si="87"/>
        <v>Interest on Kwamua Biashara</v>
      </c>
      <c r="E200" t="str">
        <f>'2025 Data'!E199</f>
        <v>% of Branch Revenue</v>
      </c>
      <c r="I200" s="39">
        <f t="shared" ref="I200:X200" si="104">I23/I$56</f>
        <v>6.9538878787837495E-3</v>
      </c>
      <c r="J200" s="39">
        <f t="shared" si="104"/>
        <v>9.8101175091552958E-4</v>
      </c>
      <c r="K200" s="39">
        <f t="shared" si="104"/>
        <v>1.3203139097987279E-3</v>
      </c>
      <c r="L200" s="39">
        <f t="shared" si="104"/>
        <v>2.6698535088784687E-2</v>
      </c>
      <c r="M200" s="39">
        <f t="shared" si="104"/>
        <v>1.1985213073170888E-3</v>
      </c>
      <c r="N200" s="39">
        <f t="shared" si="104"/>
        <v>7.7187349267503133E-3</v>
      </c>
      <c r="O200" s="39">
        <f t="shared" si="104"/>
        <v>1.4563312417896759E-2</v>
      </c>
      <c r="P200" s="39">
        <f t="shared" si="104"/>
        <v>4.2524038314357806E-3</v>
      </c>
      <c r="Q200" s="39">
        <f t="shared" si="104"/>
        <v>4.4381066333399411E-3</v>
      </c>
      <c r="R200" s="39">
        <f t="shared" si="104"/>
        <v>1.393963630356964E-2</v>
      </c>
      <c r="S200" s="39">
        <f t="shared" si="104"/>
        <v>5.596730842340387E-3</v>
      </c>
      <c r="T200" s="39">
        <f t="shared" si="104"/>
        <v>7.6840792187653183E-3</v>
      </c>
      <c r="U200" s="39">
        <f t="shared" si="104"/>
        <v>1.1382379137486064E-2</v>
      </c>
      <c r="V200" s="39">
        <f t="shared" si="104"/>
        <v>3.6107940790017279E-2</v>
      </c>
      <c r="W200" s="39">
        <f t="shared" si="104"/>
        <v>5.0028687881965555E-3</v>
      </c>
      <c r="X200" s="39">
        <f t="shared" si="104"/>
        <v>1.0976524709099317E-2</v>
      </c>
    </row>
    <row r="201" spans="3:24" x14ac:dyDescent="0.25">
      <c r="C201" s="31" t="str">
        <f t="shared" si="87"/>
        <v>Interest on Uni-Mobiloan</v>
      </c>
      <c r="E201" t="str">
        <f>'2025 Data'!E200</f>
        <v>% of Branch Revenue</v>
      </c>
      <c r="I201" s="39">
        <f t="shared" ref="I201:X201" si="105">I24/I$56</f>
        <v>2.2364550725513594E-2</v>
      </c>
      <c r="J201" s="39">
        <f t="shared" si="105"/>
        <v>6.8476301953625919E-3</v>
      </c>
      <c r="K201" s="39">
        <f t="shared" si="105"/>
        <v>1.1407569733476574E-2</v>
      </c>
      <c r="L201" s="39">
        <f t="shared" si="105"/>
        <v>1.2453073126840122E-2</v>
      </c>
      <c r="M201" s="39">
        <f t="shared" si="105"/>
        <v>8.9993278979723888E-3</v>
      </c>
      <c r="N201" s="39">
        <f t="shared" si="105"/>
        <v>9.5225198134398399E-3</v>
      </c>
      <c r="O201" s="39">
        <f t="shared" si="105"/>
        <v>1.3245445168589677E-2</v>
      </c>
      <c r="P201" s="39">
        <f t="shared" si="105"/>
        <v>1.1308315873559925E-2</v>
      </c>
      <c r="Q201" s="39">
        <f t="shared" si="105"/>
        <v>1.1490172376893888E-2</v>
      </c>
      <c r="R201" s="39">
        <f t="shared" si="105"/>
        <v>3.3721434586814862E-2</v>
      </c>
      <c r="S201" s="39">
        <f t="shared" si="105"/>
        <v>1.4313016744300336E-2</v>
      </c>
      <c r="T201" s="39">
        <f t="shared" si="105"/>
        <v>3.6091682358037565E-2</v>
      </c>
      <c r="U201" s="39">
        <f t="shared" si="105"/>
        <v>1.8176143813280619E-2</v>
      </c>
      <c r="V201" s="39">
        <f t="shared" si="105"/>
        <v>1.9515196329933687E-2</v>
      </c>
      <c r="W201" s="39">
        <f t="shared" si="105"/>
        <v>1.5237626776423811E-2</v>
      </c>
      <c r="X201" s="39">
        <f t="shared" si="105"/>
        <v>0.13591298026489226</v>
      </c>
    </row>
    <row r="202" spans="3:24" s="18" customFormat="1" x14ac:dyDescent="0.25">
      <c r="C202" s="19" t="str">
        <f t="shared" si="87"/>
        <v>Total interest on loan Portfolio</v>
      </c>
      <c r="E202" s="18" t="str">
        <f>'2025 Data'!E201</f>
        <v>% of Branch Revenue</v>
      </c>
      <c r="I202" s="64">
        <f t="shared" ref="I202:X202" si="106">I25/I$56</f>
        <v>0.91319881714697626</v>
      </c>
      <c r="J202" s="64">
        <f t="shared" si="106"/>
        <v>0.62107855987812055</v>
      </c>
      <c r="K202" s="64">
        <f t="shared" si="106"/>
        <v>0.62931011073737242</v>
      </c>
      <c r="L202" s="64">
        <f t="shared" si="106"/>
        <v>0.79475949892077469</v>
      </c>
      <c r="M202" s="64">
        <f t="shared" si="106"/>
        <v>0.61798725890429063</v>
      </c>
      <c r="N202" s="64">
        <f t="shared" si="106"/>
        <v>0.82313146194628828</v>
      </c>
      <c r="O202" s="64">
        <f t="shared" si="106"/>
        <v>0.7731982482573373</v>
      </c>
      <c r="P202" s="64">
        <f t="shared" si="106"/>
        <v>0.76583188730119856</v>
      </c>
      <c r="Q202" s="64">
        <f t="shared" si="106"/>
        <v>0.87945124698456878</v>
      </c>
      <c r="R202" s="64">
        <f t="shared" si="106"/>
        <v>0.89493524923339007</v>
      </c>
      <c r="S202" s="64">
        <f t="shared" si="106"/>
        <v>0.90408383686336236</v>
      </c>
      <c r="T202" s="64">
        <f t="shared" si="106"/>
        <v>0.95552021542775267</v>
      </c>
      <c r="U202" s="64">
        <f t="shared" si="106"/>
        <v>0.78127748244685613</v>
      </c>
      <c r="V202" s="64">
        <f t="shared" si="106"/>
        <v>0.86977493854434806</v>
      </c>
      <c r="W202" s="64">
        <f t="shared" si="106"/>
        <v>0.84813421643823872</v>
      </c>
      <c r="X202" s="64">
        <f t="shared" si="106"/>
        <v>0.65249333478594596</v>
      </c>
    </row>
    <row r="203" spans="3:24" x14ac:dyDescent="0.25">
      <c r="C203" s="31">
        <f t="shared" si="87"/>
        <v>0</v>
      </c>
    </row>
    <row r="204" spans="3:24" x14ac:dyDescent="0.25">
      <c r="C204" s="31" t="str">
        <f t="shared" si="87"/>
        <v>Loan Processing fee</v>
      </c>
      <c r="E204" t="str">
        <f>'2025 Data'!E203</f>
        <v>% of Branch Revenue</v>
      </c>
      <c r="I204" s="39">
        <f t="shared" ref="I204:X204" si="107">I27/I$56</f>
        <v>9.254064674569934E-3</v>
      </c>
      <c r="J204" s="39">
        <f t="shared" si="107"/>
        <v>4.600900938344088E-3</v>
      </c>
      <c r="K204" s="39">
        <f t="shared" si="107"/>
        <v>1.1935669137025354E-2</v>
      </c>
      <c r="L204" s="39">
        <f t="shared" si="107"/>
        <v>1.1852538024777468E-2</v>
      </c>
      <c r="M204" s="39">
        <f t="shared" si="107"/>
        <v>7.4409536215489869E-3</v>
      </c>
      <c r="N204" s="39">
        <f t="shared" si="107"/>
        <v>5.8496822382375678E-3</v>
      </c>
      <c r="O204" s="39">
        <f t="shared" si="107"/>
        <v>4.5193628919153904E-3</v>
      </c>
      <c r="P204" s="39">
        <f t="shared" si="107"/>
        <v>6.1222234058717923E-3</v>
      </c>
      <c r="Q204" s="39">
        <f t="shared" si="107"/>
        <v>7.9393162666599217E-3</v>
      </c>
      <c r="R204" s="39">
        <f t="shared" si="107"/>
        <v>3.541984749098405E-3</v>
      </c>
      <c r="S204" s="39">
        <f t="shared" si="107"/>
        <v>4.644913446623428E-3</v>
      </c>
      <c r="T204" s="39">
        <f t="shared" si="107"/>
        <v>5.9690795882107782E-3</v>
      </c>
      <c r="U204" s="39">
        <f t="shared" si="107"/>
        <v>4.6166236066773475E-3</v>
      </c>
      <c r="V204" s="39">
        <f t="shared" si="107"/>
        <v>4.4641033362107689E-3</v>
      </c>
      <c r="W204" s="39">
        <f t="shared" si="107"/>
        <v>7.8768071482149954E-3</v>
      </c>
      <c r="X204" s="39">
        <f t="shared" si="107"/>
        <v>1.9122926870784634E-2</v>
      </c>
    </row>
    <row r="205" spans="3:24" x14ac:dyDescent="0.25">
      <c r="C205" s="31" t="str">
        <f t="shared" si="87"/>
        <v>Other loan recovey inome</v>
      </c>
      <c r="E205" t="str">
        <f>'2025 Data'!E204</f>
        <v>% of Branch Revenue</v>
      </c>
      <c r="I205" s="39">
        <f t="shared" ref="I205:X205" si="108">I28/I$56</f>
        <v>1.3236104601737626E-3</v>
      </c>
      <c r="J205" s="39">
        <f t="shared" si="108"/>
        <v>1.1154490611780609E-5</v>
      </c>
      <c r="K205" s="39">
        <f t="shared" si="108"/>
        <v>3.0129422155605128E-3</v>
      </c>
      <c r="L205" s="39">
        <f t="shared" si="108"/>
        <v>7.4603037608278891E-3</v>
      </c>
      <c r="M205" s="39">
        <f t="shared" si="108"/>
        <v>1.4880012182962599E-4</v>
      </c>
      <c r="N205" s="39">
        <f t="shared" si="108"/>
        <v>2.0678833575178053E-3</v>
      </c>
      <c r="O205" s="39">
        <f t="shared" si="108"/>
        <v>4.7677854155248696E-4</v>
      </c>
      <c r="P205" s="39">
        <f t="shared" si="108"/>
        <v>7.798066541499823E-4</v>
      </c>
      <c r="Q205" s="39">
        <f t="shared" si="108"/>
        <v>5.6261200456343826E-4</v>
      </c>
      <c r="R205" s="39">
        <f t="shared" si="108"/>
        <v>4.7586854432212022E-7</v>
      </c>
      <c r="S205" s="39">
        <f t="shared" si="108"/>
        <v>3.332530467531888E-3</v>
      </c>
      <c r="T205" s="39">
        <f t="shared" si="108"/>
        <v>0</v>
      </c>
      <c r="U205" s="39">
        <f t="shared" si="108"/>
        <v>4.0710966549182962E-4</v>
      </c>
      <c r="V205" s="39">
        <f t="shared" si="108"/>
        <v>4.095507647899788E-4</v>
      </c>
      <c r="W205" s="39">
        <f t="shared" si="108"/>
        <v>2.6037460699838348E-3</v>
      </c>
      <c r="X205" s="39">
        <f t="shared" si="108"/>
        <v>0</v>
      </c>
    </row>
    <row r="206" spans="3:24" x14ac:dyDescent="0.25">
      <c r="C206" s="31" t="str">
        <f t="shared" si="87"/>
        <v>Ledger fee on loans</v>
      </c>
      <c r="E206" t="str">
        <f>'2025 Data'!E205</f>
        <v>% of Branch Revenue</v>
      </c>
      <c r="I206" s="39">
        <f t="shared" ref="I206:X206" si="109">I29/I$56</f>
        <v>1.4013588980109626E-2</v>
      </c>
      <c r="J206" s="39">
        <f t="shared" si="109"/>
        <v>2.3928090957967101E-2</v>
      </c>
      <c r="K206" s="39">
        <f t="shared" si="109"/>
        <v>3.4725590006612815E-2</v>
      </c>
      <c r="L206" s="39">
        <f t="shared" si="109"/>
        <v>3.4692417851367223E-2</v>
      </c>
      <c r="M206" s="39">
        <f t="shared" si="109"/>
        <v>2.8228446239815994E-2</v>
      </c>
      <c r="N206" s="39">
        <f t="shared" si="109"/>
        <v>2.8971436759455658E-2</v>
      </c>
      <c r="O206" s="39">
        <f t="shared" si="109"/>
        <v>1.0875637800511742E-2</v>
      </c>
      <c r="P206" s="39">
        <f t="shared" si="109"/>
        <v>2.6837675743340457E-2</v>
      </c>
      <c r="Q206" s="39">
        <f t="shared" si="109"/>
        <v>1.3486599354970723E-2</v>
      </c>
      <c r="R206" s="39">
        <f t="shared" si="109"/>
        <v>2.3269172358197216E-2</v>
      </c>
      <c r="S206" s="39">
        <f t="shared" si="109"/>
        <v>2.014979047578877E-2</v>
      </c>
      <c r="T206" s="39">
        <f t="shared" si="109"/>
        <v>-7.7354828458987446E-2</v>
      </c>
      <c r="U206" s="39">
        <f t="shared" si="109"/>
        <v>3.5501102737950915E-2</v>
      </c>
      <c r="V206" s="39">
        <f t="shared" si="109"/>
        <v>-8.5645255932880367E-3</v>
      </c>
      <c r="W206" s="39">
        <f t="shared" si="109"/>
        <v>3.9470264192202453E-2</v>
      </c>
      <c r="X206" s="39">
        <f t="shared" si="109"/>
        <v>5.2357620274469621E-2</v>
      </c>
    </row>
    <row r="207" spans="3:24" x14ac:dyDescent="0.25">
      <c r="C207" s="31" t="str">
        <f t="shared" si="87"/>
        <v>Ledger fee on MFI loan</v>
      </c>
      <c r="E207" t="str">
        <f>'2025 Data'!E206</f>
        <v>% of Branch Revenue</v>
      </c>
      <c r="I207" s="39">
        <f t="shared" ref="I207:X207" si="110">I30/I$56</f>
        <v>1.1125718292163767E-3</v>
      </c>
      <c r="J207" s="39">
        <f t="shared" si="110"/>
        <v>1.6202487982043465E-3</v>
      </c>
      <c r="K207" s="39">
        <f t="shared" si="110"/>
        <v>5.3995005148099349E-4</v>
      </c>
      <c r="L207" s="39">
        <f t="shared" si="110"/>
        <v>7.8730532645638791E-3</v>
      </c>
      <c r="M207" s="39">
        <f t="shared" si="110"/>
        <v>1.4099247407188197E-3</v>
      </c>
      <c r="N207" s="39">
        <f t="shared" si="110"/>
        <v>4.2526998145296542E-3</v>
      </c>
      <c r="O207" s="39">
        <f t="shared" si="110"/>
        <v>1.2179531984581085E-2</v>
      </c>
      <c r="P207" s="39">
        <f t="shared" si="110"/>
        <v>1.3058174326050598E-2</v>
      </c>
      <c r="Q207" s="39">
        <f t="shared" si="110"/>
        <v>3.7772522850409006E-3</v>
      </c>
      <c r="R207" s="39">
        <f t="shared" si="110"/>
        <v>8.8625757694551664E-4</v>
      </c>
      <c r="S207" s="39">
        <f t="shared" si="110"/>
        <v>8.9111049335701263E-5</v>
      </c>
      <c r="T207" s="39">
        <f t="shared" si="110"/>
        <v>0</v>
      </c>
      <c r="U207" s="39">
        <f t="shared" si="110"/>
        <v>0</v>
      </c>
      <c r="V207" s="39">
        <f t="shared" si="110"/>
        <v>0</v>
      </c>
      <c r="W207" s="39">
        <f t="shared" si="110"/>
        <v>0</v>
      </c>
      <c r="X207" s="39">
        <f t="shared" si="110"/>
        <v>0</v>
      </c>
    </row>
    <row r="208" spans="3:24" x14ac:dyDescent="0.25">
      <c r="C208" s="31" t="str">
        <f t="shared" si="87"/>
        <v>MFI loan procesing fee</v>
      </c>
      <c r="E208" t="str">
        <f>'2025 Data'!E207</f>
        <v>% of Branch Revenue</v>
      </c>
      <c r="I208" s="39">
        <f t="shared" ref="I208:X208" si="111">I31/I$56</f>
        <v>4.5422000712484162E-5</v>
      </c>
      <c r="J208" s="39">
        <f t="shared" si="111"/>
        <v>3.8894861410941103E-5</v>
      </c>
      <c r="K208" s="39">
        <f t="shared" si="111"/>
        <v>1.0464148284515379E-5</v>
      </c>
      <c r="L208" s="39">
        <f t="shared" si="111"/>
        <v>3.358544547383401E-4</v>
      </c>
      <c r="M208" s="39">
        <f t="shared" si="111"/>
        <v>3.4111082436745641E-5</v>
      </c>
      <c r="N208" s="39">
        <f t="shared" si="111"/>
        <v>5.2472567946930057E-4</v>
      </c>
      <c r="O208" s="39">
        <f t="shared" si="111"/>
        <v>8.9717489729541878E-4</v>
      </c>
      <c r="P208" s="39">
        <f t="shared" si="111"/>
        <v>8.2766898783155282E-4</v>
      </c>
      <c r="Q208" s="39">
        <f t="shared" si="111"/>
        <v>1.4832142480527096E-4</v>
      </c>
      <c r="R208" s="39">
        <f t="shared" si="111"/>
        <v>4.568338025492354E-5</v>
      </c>
      <c r="S208" s="39">
        <f t="shared" si="111"/>
        <v>0</v>
      </c>
      <c r="T208" s="39">
        <f t="shared" si="111"/>
        <v>0</v>
      </c>
      <c r="U208" s="39">
        <f t="shared" si="111"/>
        <v>0</v>
      </c>
      <c r="V208" s="39">
        <f t="shared" si="111"/>
        <v>0</v>
      </c>
      <c r="W208" s="39">
        <f t="shared" si="111"/>
        <v>0</v>
      </c>
      <c r="X208" s="39">
        <f t="shared" si="111"/>
        <v>0</v>
      </c>
    </row>
    <row r="209" spans="3:24" x14ac:dyDescent="0.25">
      <c r="C209" s="31" t="str">
        <f t="shared" si="87"/>
        <v>MFI other incomes</v>
      </c>
      <c r="E209" t="str">
        <f>'2025 Data'!E208</f>
        <v>% of Branch Revenue</v>
      </c>
      <c r="I209" s="39">
        <f t="shared" ref="I209:X209" si="112">I32/I$56</f>
        <v>4.8060484577400522E-5</v>
      </c>
      <c r="J209" s="39">
        <f t="shared" si="112"/>
        <v>1.0452994004190421E-4</v>
      </c>
      <c r="K209" s="39">
        <f t="shared" si="112"/>
        <v>2.9038011489530175E-6</v>
      </c>
      <c r="L209" s="39">
        <f t="shared" si="112"/>
        <v>3.9826089876995261E-4</v>
      </c>
      <c r="M209" s="39">
        <f t="shared" si="112"/>
        <v>8.3970114598455519E-5</v>
      </c>
      <c r="N209" s="39">
        <f t="shared" si="112"/>
        <v>5.7790460890782386E-4</v>
      </c>
      <c r="O209" s="39">
        <f t="shared" si="112"/>
        <v>8.5089741169431035E-4</v>
      </c>
      <c r="P209" s="39">
        <f t="shared" si="112"/>
        <v>4.1378361262554088E-4</v>
      </c>
      <c r="Q209" s="39">
        <f t="shared" si="112"/>
        <v>6.4952423945974908E-5</v>
      </c>
      <c r="R209" s="39">
        <f t="shared" si="112"/>
        <v>6.3709280713845448E-5</v>
      </c>
      <c r="S209" s="39">
        <f t="shared" si="112"/>
        <v>3.1782940929733452E-4</v>
      </c>
      <c r="T209" s="39">
        <f t="shared" si="112"/>
        <v>0</v>
      </c>
      <c r="U209" s="39">
        <f t="shared" si="112"/>
        <v>0</v>
      </c>
      <c r="V209" s="39">
        <f t="shared" si="112"/>
        <v>0</v>
      </c>
      <c r="W209" s="39">
        <f t="shared" si="112"/>
        <v>0</v>
      </c>
      <c r="X209" s="39">
        <f t="shared" si="112"/>
        <v>4.414341382914274E-4</v>
      </c>
    </row>
    <row r="210" spans="3:24" s="18" customFormat="1" x14ac:dyDescent="0.25">
      <c r="C210" s="19" t="str">
        <f t="shared" si="87"/>
        <v>Total fees and Commision on loan Portfolio</v>
      </c>
      <c r="E210" s="18" t="str">
        <f>'2025 Data'!E209</f>
        <v>% of Branch Revenue</v>
      </c>
      <c r="I210" s="64">
        <f t="shared" ref="I210:X210" si="113">I33/I$56</f>
        <v>2.5797318429359586E-2</v>
      </c>
      <c r="J210" s="64">
        <f t="shared" si="113"/>
        <v>3.0303819986580161E-2</v>
      </c>
      <c r="K210" s="64">
        <f t="shared" si="113"/>
        <v>5.0227519360113146E-2</v>
      </c>
      <c r="L210" s="64">
        <f t="shared" si="113"/>
        <v>6.2612428255044747E-2</v>
      </c>
      <c r="M210" s="64">
        <f t="shared" si="113"/>
        <v>3.734620592094863E-2</v>
      </c>
      <c r="N210" s="64">
        <f t="shared" si="113"/>
        <v>4.224433245811781E-2</v>
      </c>
      <c r="O210" s="64">
        <f t="shared" si="113"/>
        <v>2.9799383527550436E-2</v>
      </c>
      <c r="P210" s="64">
        <f t="shared" si="113"/>
        <v>4.8039332729869925E-2</v>
      </c>
      <c r="Q210" s="64">
        <f t="shared" si="113"/>
        <v>2.5979053759986229E-2</v>
      </c>
      <c r="R210" s="64">
        <f t="shared" si="113"/>
        <v>2.7807283213754232E-2</v>
      </c>
      <c r="S210" s="64">
        <f t="shared" si="113"/>
        <v>2.8534174848577121E-2</v>
      </c>
      <c r="T210" s="64">
        <f t="shared" si="113"/>
        <v>-7.1385748870776672E-2</v>
      </c>
      <c r="U210" s="64">
        <f t="shared" si="113"/>
        <v>4.0524836010120094E-2</v>
      </c>
      <c r="V210" s="64">
        <f t="shared" si="113"/>
        <v>-3.6908714922872887E-3</v>
      </c>
      <c r="W210" s="64">
        <f t="shared" si="113"/>
        <v>4.9950817410401284E-2</v>
      </c>
      <c r="X210" s="64">
        <f t="shared" si="113"/>
        <v>7.1921981283545683E-2</v>
      </c>
    </row>
    <row r="211" spans="3:24" x14ac:dyDescent="0.25">
      <c r="C211" s="31">
        <f t="shared" si="87"/>
        <v>0</v>
      </c>
    </row>
    <row r="212" spans="3:24" x14ac:dyDescent="0.25">
      <c r="C212" s="31" t="str">
        <f t="shared" si="87"/>
        <v>Interest on treasury bonds</v>
      </c>
      <c r="E212" t="str">
        <f>'2025 Data'!E211</f>
        <v>% of Branch Revenue</v>
      </c>
      <c r="I212" s="39">
        <f t="shared" ref="I212:X212" si="114">I35/I$56</f>
        <v>8.9733767492847435E-3</v>
      </c>
      <c r="J212" s="39">
        <f t="shared" si="114"/>
        <v>1.5855582860983024E-2</v>
      </c>
      <c r="K212" s="39">
        <f t="shared" si="114"/>
        <v>4.0282262028656174E-2</v>
      </c>
      <c r="L212" s="39">
        <f t="shared" si="114"/>
        <v>1.5437784329109248E-2</v>
      </c>
      <c r="M212" s="39">
        <f t="shared" si="114"/>
        <v>4.6040106976902662E-3</v>
      </c>
      <c r="N212" s="39">
        <f t="shared" si="114"/>
        <v>3.7002423829004011E-2</v>
      </c>
      <c r="O212" s="39">
        <f t="shared" si="114"/>
        <v>1.8523191328068709E-2</v>
      </c>
      <c r="P212" s="39">
        <f t="shared" si="114"/>
        <v>1.865499752895014E-2</v>
      </c>
      <c r="Q212" s="39">
        <f t="shared" si="114"/>
        <v>8.3540806509695489E-3</v>
      </c>
      <c r="R212" s="39">
        <f t="shared" si="114"/>
        <v>5.6450762633591294E-3</v>
      </c>
      <c r="S212" s="39">
        <f t="shared" si="114"/>
        <v>0</v>
      </c>
      <c r="T212" s="39">
        <f t="shared" si="114"/>
        <v>0</v>
      </c>
      <c r="U212" s="39">
        <f t="shared" si="114"/>
        <v>0</v>
      </c>
      <c r="V212" s="39">
        <f t="shared" si="114"/>
        <v>0</v>
      </c>
      <c r="W212" s="39">
        <f t="shared" si="114"/>
        <v>0</v>
      </c>
      <c r="X212" s="39">
        <f t="shared" si="114"/>
        <v>0</v>
      </c>
    </row>
    <row r="213" spans="3:24" x14ac:dyDescent="0.25">
      <c r="C213" s="31" t="str">
        <f t="shared" si="87"/>
        <v>Discount on infrastructure Bonds</v>
      </c>
      <c r="E213" t="str">
        <f>'2025 Data'!E212</f>
        <v>% of Branch Revenue</v>
      </c>
      <c r="I213" s="39">
        <f t="shared" ref="I213:X213" si="115">I36/I$56</f>
        <v>7.5280286474955368E-5</v>
      </c>
      <c r="J213" s="39">
        <f t="shared" si="115"/>
        <v>1.6502534055785011E-4</v>
      </c>
      <c r="K213" s="39">
        <f t="shared" si="115"/>
        <v>2.8990922822249855E-4</v>
      </c>
      <c r="L213" s="39">
        <f t="shared" si="115"/>
        <v>5.0772601930850695E-4</v>
      </c>
      <c r="M213" s="39">
        <f t="shared" si="115"/>
        <v>2.3640875188800104E-4</v>
      </c>
      <c r="N213" s="39">
        <f t="shared" si="115"/>
        <v>2.517674173607509E-4</v>
      </c>
      <c r="O213" s="39">
        <f t="shared" si="115"/>
        <v>8.5323476154050668E-4</v>
      </c>
      <c r="P213" s="39">
        <f t="shared" si="115"/>
        <v>2.5086172129132171E-4</v>
      </c>
      <c r="Q213" s="39">
        <f t="shared" si="115"/>
        <v>2.9794066207758808E-4</v>
      </c>
      <c r="R213" s="39">
        <f t="shared" si="115"/>
        <v>0</v>
      </c>
      <c r="S213" s="39">
        <f t="shared" si="115"/>
        <v>0</v>
      </c>
      <c r="T213" s="39">
        <f t="shared" si="115"/>
        <v>0</v>
      </c>
      <c r="U213" s="39">
        <f t="shared" si="115"/>
        <v>0</v>
      </c>
      <c r="V213" s="39">
        <f t="shared" si="115"/>
        <v>0</v>
      </c>
      <c r="W213" s="39">
        <f t="shared" si="115"/>
        <v>0</v>
      </c>
      <c r="X213" s="39">
        <f t="shared" si="115"/>
        <v>0</v>
      </c>
    </row>
    <row r="214" spans="3:24" x14ac:dyDescent="0.25">
      <c r="C214" s="31" t="str">
        <f t="shared" si="87"/>
        <v>Interest on corporate Bonds</v>
      </c>
      <c r="E214" t="str">
        <f>'2025 Data'!E213</f>
        <v>% of Branch Revenue</v>
      </c>
      <c r="I214" s="39">
        <f t="shared" ref="I214:X214" si="116">I37/I$56</f>
        <v>0</v>
      </c>
      <c r="J214" s="39">
        <f t="shared" si="116"/>
        <v>6.0194243160449747E-3</v>
      </c>
      <c r="K214" s="39">
        <f t="shared" si="116"/>
        <v>0</v>
      </c>
      <c r="L214" s="39">
        <f t="shared" si="116"/>
        <v>0</v>
      </c>
      <c r="M214" s="39">
        <f t="shared" si="116"/>
        <v>2.4635819661074559E-2</v>
      </c>
      <c r="N214" s="39">
        <f t="shared" si="116"/>
        <v>2.6236203246437415E-2</v>
      </c>
      <c r="O214" s="39">
        <f t="shared" si="116"/>
        <v>1.9903197380273796E-2</v>
      </c>
      <c r="P214" s="39">
        <f t="shared" si="116"/>
        <v>3.3072838653105084E-2</v>
      </c>
      <c r="Q214" s="39">
        <f t="shared" si="116"/>
        <v>2.67801748557157E-2</v>
      </c>
      <c r="R214" s="39">
        <f t="shared" si="116"/>
        <v>0</v>
      </c>
      <c r="S214" s="39">
        <f t="shared" si="116"/>
        <v>0</v>
      </c>
      <c r="T214" s="39">
        <f t="shared" si="116"/>
        <v>0</v>
      </c>
      <c r="U214" s="39">
        <f t="shared" si="116"/>
        <v>0</v>
      </c>
      <c r="V214" s="39">
        <f t="shared" si="116"/>
        <v>0</v>
      </c>
      <c r="W214" s="39">
        <f t="shared" si="116"/>
        <v>0</v>
      </c>
      <c r="X214" s="39">
        <f t="shared" si="116"/>
        <v>0</v>
      </c>
    </row>
    <row r="215" spans="3:24" s="18" customFormat="1" x14ac:dyDescent="0.25">
      <c r="C215" s="19" t="str">
        <f t="shared" si="87"/>
        <v>Total Government Securities</v>
      </c>
      <c r="E215" s="18" t="str">
        <f>'2025 Data'!E214</f>
        <v>% of Branch Revenue</v>
      </c>
      <c r="I215" s="64">
        <f t="shared" ref="I215:X215" si="117">I39/I$56</f>
        <v>9.0486570357596989E-3</v>
      </c>
      <c r="J215" s="64">
        <f t="shared" si="117"/>
        <v>2.204003251758585E-2</v>
      </c>
      <c r="K215" s="64">
        <f t="shared" si="117"/>
        <v>4.0572171256878675E-2</v>
      </c>
      <c r="L215" s="64">
        <f t="shared" si="117"/>
        <v>1.5945510348417756E-2</v>
      </c>
      <c r="M215" s="64">
        <f t="shared" si="117"/>
        <v>2.9574450602168623E-2</v>
      </c>
      <c r="N215" s="64">
        <f t="shared" si="117"/>
        <v>6.349039449280218E-2</v>
      </c>
      <c r="O215" s="64">
        <f t="shared" si="117"/>
        <v>3.9279623469883014E-2</v>
      </c>
      <c r="P215" s="64">
        <f t="shared" si="117"/>
        <v>5.1978697903346548E-2</v>
      </c>
      <c r="Q215" s="64">
        <f t="shared" si="117"/>
        <v>3.5432196168762836E-2</v>
      </c>
      <c r="R215" s="64">
        <f t="shared" si="117"/>
        <v>5.6450762633591294E-3</v>
      </c>
      <c r="S215" s="64">
        <f t="shared" si="117"/>
        <v>0</v>
      </c>
      <c r="T215" s="64">
        <f t="shared" si="117"/>
        <v>0</v>
      </c>
      <c r="U215" s="64">
        <f t="shared" si="117"/>
        <v>0</v>
      </c>
      <c r="V215" s="64">
        <f t="shared" si="117"/>
        <v>0</v>
      </c>
      <c r="W215" s="64">
        <f t="shared" si="117"/>
        <v>0</v>
      </c>
      <c r="X215" s="64">
        <f t="shared" si="117"/>
        <v>0</v>
      </c>
    </row>
    <row r="217" spans="3:24" x14ac:dyDescent="0.25">
      <c r="C217" s="31" t="str">
        <f t="shared" si="87"/>
        <v>Interest on fixed deposit</v>
      </c>
      <c r="E217" t="str">
        <f>'2025 Data'!E216</f>
        <v>% of Branch Revenue</v>
      </c>
      <c r="I217" s="39">
        <f t="shared" ref="I217:X217" si="118">I41/I$56</f>
        <v>0</v>
      </c>
      <c r="J217" s="39">
        <f t="shared" si="118"/>
        <v>0.16748618602693585</v>
      </c>
      <c r="K217" s="39">
        <f t="shared" si="118"/>
        <v>0.13339183489834264</v>
      </c>
      <c r="L217" s="39">
        <f t="shared" si="118"/>
        <v>0</v>
      </c>
      <c r="M217" s="39">
        <f t="shared" si="118"/>
        <v>0.17313133899984107</v>
      </c>
      <c r="N217" s="39">
        <f t="shared" si="118"/>
        <v>0</v>
      </c>
      <c r="O217" s="39">
        <f t="shared" si="118"/>
        <v>7.336321616399287E-2</v>
      </c>
      <c r="P217" s="39">
        <f t="shared" si="118"/>
        <v>0</v>
      </c>
      <c r="Q217" s="39">
        <f t="shared" si="118"/>
        <v>0</v>
      </c>
      <c r="R217" s="39">
        <f t="shared" si="118"/>
        <v>0</v>
      </c>
      <c r="S217" s="39">
        <f t="shared" si="118"/>
        <v>0</v>
      </c>
      <c r="T217" s="39">
        <f t="shared" si="118"/>
        <v>0</v>
      </c>
      <c r="U217" s="39">
        <f t="shared" si="118"/>
        <v>0</v>
      </c>
      <c r="V217" s="39">
        <f t="shared" si="118"/>
        <v>0</v>
      </c>
      <c r="W217" s="39">
        <f t="shared" si="118"/>
        <v>0</v>
      </c>
      <c r="X217" s="39">
        <f t="shared" si="118"/>
        <v>0</v>
      </c>
    </row>
    <row r="218" spans="3:24" x14ac:dyDescent="0.25">
      <c r="C218" s="31" t="str">
        <f t="shared" si="87"/>
        <v>Interest on call deposit</v>
      </c>
      <c r="E218" t="str">
        <f>'2025 Data'!E217</f>
        <v>% of Branch Revenue</v>
      </c>
      <c r="I218" s="39">
        <f t="shared" ref="I218:X218" si="119">I42/I$56</f>
        <v>2.9784942590732515E-3</v>
      </c>
      <c r="J218" s="39">
        <f t="shared" si="119"/>
        <v>8.309916311593625E-2</v>
      </c>
      <c r="K218" s="39">
        <f t="shared" si="119"/>
        <v>0</v>
      </c>
      <c r="L218" s="39">
        <f t="shared" si="119"/>
        <v>0</v>
      </c>
      <c r="M218" s="39">
        <f t="shared" si="119"/>
        <v>5.9520427743877469E-3</v>
      </c>
      <c r="N218" s="39">
        <f t="shared" si="119"/>
        <v>0</v>
      </c>
      <c r="O218" s="39">
        <f t="shared" si="119"/>
        <v>0</v>
      </c>
      <c r="P218" s="39">
        <f t="shared" si="119"/>
        <v>0</v>
      </c>
      <c r="Q218" s="39">
        <f t="shared" si="119"/>
        <v>0</v>
      </c>
      <c r="R218" s="39">
        <f t="shared" si="119"/>
        <v>0</v>
      </c>
      <c r="S218" s="39">
        <f t="shared" si="119"/>
        <v>0</v>
      </c>
      <c r="T218" s="39">
        <f t="shared" si="119"/>
        <v>0</v>
      </c>
      <c r="U218" s="39">
        <f t="shared" si="119"/>
        <v>0</v>
      </c>
      <c r="V218" s="39">
        <f t="shared" si="119"/>
        <v>0</v>
      </c>
      <c r="W218" s="39">
        <f t="shared" si="119"/>
        <v>0</v>
      </c>
      <c r="X218" s="39">
        <f t="shared" si="119"/>
        <v>0</v>
      </c>
    </row>
    <row r="219" spans="3:24" s="18" customFormat="1" x14ac:dyDescent="0.25">
      <c r="C219" s="19" t="str">
        <f t="shared" si="87"/>
        <v>Total deposit with bank</v>
      </c>
      <c r="E219" s="18" t="str">
        <f>'2025 Data'!E218</f>
        <v>% of Branch Revenue</v>
      </c>
      <c r="I219" s="64">
        <f t="shared" ref="I219:X219" si="120">I43/I$56</f>
        <v>2.9784942590732515E-3</v>
      </c>
      <c r="J219" s="64">
        <f t="shared" si="120"/>
        <v>0.25058534914287206</v>
      </c>
      <c r="K219" s="64">
        <f t="shared" si="120"/>
        <v>0.13339183489834264</v>
      </c>
      <c r="L219" s="64">
        <f t="shared" si="120"/>
        <v>0</v>
      </c>
      <c r="M219" s="64">
        <f t="shared" si="120"/>
        <v>0.17908338177422883</v>
      </c>
      <c r="N219" s="64">
        <f t="shared" si="120"/>
        <v>0</v>
      </c>
      <c r="O219" s="64">
        <f t="shared" si="120"/>
        <v>7.336321616399287E-2</v>
      </c>
      <c r="P219" s="64">
        <f t="shared" si="120"/>
        <v>0</v>
      </c>
      <c r="Q219" s="64">
        <f t="shared" si="120"/>
        <v>0</v>
      </c>
      <c r="R219" s="64">
        <f t="shared" si="120"/>
        <v>0</v>
      </c>
      <c r="S219" s="64">
        <f t="shared" si="120"/>
        <v>0</v>
      </c>
      <c r="T219" s="64">
        <f t="shared" si="120"/>
        <v>0</v>
      </c>
      <c r="U219" s="64">
        <f t="shared" si="120"/>
        <v>0</v>
      </c>
      <c r="V219" s="64">
        <f t="shared" si="120"/>
        <v>0</v>
      </c>
      <c r="W219" s="64">
        <f t="shared" si="120"/>
        <v>0</v>
      </c>
      <c r="X219" s="64">
        <f t="shared" si="120"/>
        <v>0</v>
      </c>
    </row>
    <row r="220" spans="3:24" x14ac:dyDescent="0.25">
      <c r="C220" s="31">
        <f t="shared" si="87"/>
        <v>0</v>
      </c>
    </row>
    <row r="221" spans="3:24" s="18" customFormat="1" x14ac:dyDescent="0.25">
      <c r="C221" s="19" t="str">
        <f t="shared" si="87"/>
        <v>Interest Income From Financial Investment (Bank + Govnt)</v>
      </c>
      <c r="E221" s="18" t="str">
        <f>'2025 Data'!E220</f>
        <v>% of Branch Revenue</v>
      </c>
      <c r="I221" s="64">
        <f t="shared" ref="I221:X221" si="121">I45/I$56</f>
        <v>1.2027151294832951E-2</v>
      </c>
      <c r="J221" s="64">
        <f t="shared" si="121"/>
        <v>0.27262538166045791</v>
      </c>
      <c r="K221" s="64">
        <f t="shared" si="121"/>
        <v>0.17396400615522131</v>
      </c>
      <c r="L221" s="64">
        <f t="shared" si="121"/>
        <v>1.5945510348417756E-2</v>
      </c>
      <c r="M221" s="64">
        <f t="shared" si="121"/>
        <v>0.20865783237639746</v>
      </c>
      <c r="N221" s="64">
        <f t="shared" si="121"/>
        <v>6.349039449280218E-2</v>
      </c>
      <c r="O221" s="64">
        <f t="shared" si="121"/>
        <v>0.11264283963387589</v>
      </c>
      <c r="P221" s="64">
        <f t="shared" si="121"/>
        <v>5.1978697903346548E-2</v>
      </c>
      <c r="Q221" s="64">
        <f t="shared" si="121"/>
        <v>3.5432196168762836E-2</v>
      </c>
      <c r="R221" s="64">
        <f t="shared" si="121"/>
        <v>5.6450762633591294E-3</v>
      </c>
      <c r="S221" s="64">
        <f t="shared" si="121"/>
        <v>0</v>
      </c>
      <c r="T221" s="64">
        <f t="shared" si="121"/>
        <v>0</v>
      </c>
      <c r="U221" s="64">
        <f t="shared" si="121"/>
        <v>0</v>
      </c>
      <c r="V221" s="64">
        <f t="shared" si="121"/>
        <v>0</v>
      </c>
      <c r="W221" s="64">
        <f t="shared" si="121"/>
        <v>0</v>
      </c>
      <c r="X221" s="64">
        <f t="shared" si="121"/>
        <v>0</v>
      </c>
    </row>
    <row r="222" spans="3:24" x14ac:dyDescent="0.25">
      <c r="C222" s="31">
        <f t="shared" si="87"/>
        <v>0</v>
      </c>
    </row>
    <row r="223" spans="3:24" x14ac:dyDescent="0.25">
      <c r="C223" s="31" t="str">
        <f t="shared" si="87"/>
        <v>Salary Processiong Charges</v>
      </c>
      <c r="E223" t="str">
        <f>'2025 Data'!E222</f>
        <v>% of Branch Revenue</v>
      </c>
      <c r="I223" s="39">
        <f t="shared" ref="I223:X223" si="122">I47/I$56</f>
        <v>7.646593428767094E-3</v>
      </c>
      <c r="J223" s="39">
        <f t="shared" si="122"/>
        <v>9.8530685489705196E-3</v>
      </c>
      <c r="K223" s="39">
        <f t="shared" si="122"/>
        <v>3.3138231032593259E-2</v>
      </c>
      <c r="L223" s="39">
        <f t="shared" si="122"/>
        <v>1.6954460088579659E-2</v>
      </c>
      <c r="M223" s="39">
        <f t="shared" si="122"/>
        <v>1.8842781907345431E-2</v>
      </c>
      <c r="N223" s="39">
        <f t="shared" si="122"/>
        <v>4.6057998332986877E-3</v>
      </c>
      <c r="O223" s="39">
        <f t="shared" si="122"/>
        <v>1.0444973436274168E-2</v>
      </c>
      <c r="P223" s="39">
        <f t="shared" si="122"/>
        <v>1.1453887244923824E-2</v>
      </c>
      <c r="Q223" s="39">
        <f t="shared" si="122"/>
        <v>3.4330229783053343E-3</v>
      </c>
      <c r="R223" s="39">
        <f t="shared" si="122"/>
        <v>2.3287293432365003E-3</v>
      </c>
      <c r="S223" s="39">
        <f t="shared" si="122"/>
        <v>8.6578810350411753E-4</v>
      </c>
      <c r="T223" s="39">
        <f t="shared" si="122"/>
        <v>3.6220143132346953E-3</v>
      </c>
      <c r="U223" s="39">
        <f t="shared" si="122"/>
        <v>4.0629544616084595E-3</v>
      </c>
      <c r="V223" s="39">
        <f t="shared" si="122"/>
        <v>9.2050629894195636E-3</v>
      </c>
      <c r="W223" s="39">
        <f t="shared" si="122"/>
        <v>3.41523525475828E-3</v>
      </c>
      <c r="X223" s="39">
        <f t="shared" si="122"/>
        <v>3.5780532366039307E-2</v>
      </c>
    </row>
    <row r="224" spans="3:24" x14ac:dyDescent="0.25">
      <c r="C224" s="31" t="str">
        <f t="shared" si="87"/>
        <v>Withdrawal transaction charge</v>
      </c>
      <c r="E224" t="str">
        <f>'2025 Data'!E223</f>
        <v>% of Branch Revenue</v>
      </c>
      <c r="I224" s="39">
        <f t="shared" ref="I224:X224" si="123">I48/I$56</f>
        <v>1.4943096787042717E-2</v>
      </c>
      <c r="J224" s="39">
        <f t="shared" si="123"/>
        <v>2.0736309175475611E-2</v>
      </c>
      <c r="K224" s="39">
        <f t="shared" si="123"/>
        <v>4.673762126574442E-2</v>
      </c>
      <c r="L224" s="39">
        <f t="shared" si="123"/>
        <v>4.2272399051328326E-2</v>
      </c>
      <c r="M224" s="39">
        <f t="shared" si="123"/>
        <v>4.6085844253269934E-2</v>
      </c>
      <c r="N224" s="39">
        <f t="shared" si="123"/>
        <v>2.6794793913989388E-2</v>
      </c>
      <c r="O224" s="39">
        <f t="shared" si="123"/>
        <v>2.0330422063733346E-2</v>
      </c>
      <c r="P224" s="39">
        <f t="shared" si="123"/>
        <v>4.2221888252509054E-2</v>
      </c>
      <c r="Q224" s="39">
        <f t="shared" si="123"/>
        <v>1.6403937579505177E-2</v>
      </c>
      <c r="R224" s="39">
        <f t="shared" si="123"/>
        <v>1.9456608754797256E-2</v>
      </c>
      <c r="S224" s="39">
        <f t="shared" si="123"/>
        <v>2.9540461373200527E-2</v>
      </c>
      <c r="T224" s="39">
        <f t="shared" si="123"/>
        <v>2.3170556790528287E-2</v>
      </c>
      <c r="U224" s="39">
        <f t="shared" si="123"/>
        <v>6.0621967490990462E-2</v>
      </c>
      <c r="V224" s="39">
        <f t="shared" si="123"/>
        <v>5.3251838191816989E-2</v>
      </c>
      <c r="W224" s="39">
        <f t="shared" si="123"/>
        <v>4.2166418909469663E-2</v>
      </c>
      <c r="X224" s="39">
        <f t="shared" si="123"/>
        <v>8.2963661671456815E-2</v>
      </c>
    </row>
    <row r="225" spans="2:59" x14ac:dyDescent="0.25">
      <c r="C225" s="31" t="str">
        <f t="shared" si="87"/>
        <v>Mobile Banking cash withdrawal and notification charge</v>
      </c>
      <c r="E225" t="str">
        <f>'2025 Data'!E224</f>
        <v>% of Branch Revenue</v>
      </c>
      <c r="I225" s="39">
        <f t="shared" ref="I225:X225" si="124">I49/I$56</f>
        <v>7.8828078715899742E-3</v>
      </c>
      <c r="J225" s="39">
        <f t="shared" si="124"/>
        <v>3.8921069138987048E-3</v>
      </c>
      <c r="K225" s="39">
        <f t="shared" si="124"/>
        <v>4.2351808955626204E-3</v>
      </c>
      <c r="L225" s="39">
        <f t="shared" si="124"/>
        <v>1.3608041449126055E-2</v>
      </c>
      <c r="M225" s="39">
        <f t="shared" si="124"/>
        <v>1.1312769934734507E-2</v>
      </c>
      <c r="N225" s="39">
        <f t="shared" si="124"/>
        <v>1.2552568431292217E-2</v>
      </c>
      <c r="O225" s="39">
        <f t="shared" si="124"/>
        <v>1.8338979581238361E-2</v>
      </c>
      <c r="P225" s="39">
        <f t="shared" si="124"/>
        <v>2.6639984970345282E-2</v>
      </c>
      <c r="Q225" s="39">
        <f t="shared" si="124"/>
        <v>1.2245416831923171E-2</v>
      </c>
      <c r="R225" s="39">
        <f t="shared" si="124"/>
        <v>3.0358071854513204E-2</v>
      </c>
      <c r="S225" s="39">
        <f t="shared" si="124"/>
        <v>1.3455360024048102E-2</v>
      </c>
      <c r="T225" s="39">
        <f t="shared" si="124"/>
        <v>3.8346893350030012E-2</v>
      </c>
      <c r="U225" s="39">
        <f t="shared" si="124"/>
        <v>4.0245884467325091E-2</v>
      </c>
      <c r="V225" s="39">
        <f t="shared" si="124"/>
        <v>2.4538643623156369E-2</v>
      </c>
      <c r="W225" s="39">
        <f t="shared" si="124"/>
        <v>2.1720417107913052E-2</v>
      </c>
      <c r="X225" s="39">
        <f t="shared" si="124"/>
        <v>8.844185932765343E-2</v>
      </c>
    </row>
    <row r="226" spans="2:59" x14ac:dyDescent="0.25">
      <c r="C226" s="31" t="str">
        <f t="shared" si="87"/>
        <v>Ledger fee on charging customers</v>
      </c>
      <c r="E226" t="str">
        <f>'2025 Data'!E225</f>
        <v>% of Branch Revenue</v>
      </c>
      <c r="I226" s="39">
        <f t="shared" ref="I226:X226" si="125">I50/I$56</f>
        <v>5.5289395990792377E-3</v>
      </c>
      <c r="J226" s="39">
        <f t="shared" si="125"/>
        <v>1.4288944146756757E-2</v>
      </c>
      <c r="K226" s="39">
        <f t="shared" si="125"/>
        <v>2.0159600236050255E-2</v>
      </c>
      <c r="L226" s="39">
        <f t="shared" si="125"/>
        <v>2.1717208205939705E-2</v>
      </c>
      <c r="M226" s="39">
        <f t="shared" si="125"/>
        <v>2.591841531129755E-2</v>
      </c>
      <c r="N226" s="39">
        <f t="shared" si="125"/>
        <v>1.1000207872096098E-2</v>
      </c>
      <c r="O226" s="39">
        <f t="shared" si="125"/>
        <v>1.4175700200607899E-2</v>
      </c>
      <c r="P226" s="39">
        <f t="shared" si="125"/>
        <v>1.966390567260071E-2</v>
      </c>
      <c r="Q226" s="39">
        <f t="shared" si="125"/>
        <v>8.1053538616502659E-3</v>
      </c>
      <c r="R226" s="39">
        <f t="shared" si="125"/>
        <v>4.2626971768451429E-3</v>
      </c>
      <c r="S226" s="39">
        <f t="shared" si="125"/>
        <v>4.8424058097136765E-3</v>
      </c>
      <c r="T226" s="39">
        <f t="shared" si="125"/>
        <v>7.3856252393547789E-3</v>
      </c>
      <c r="U226" s="39">
        <f t="shared" si="125"/>
        <v>8.9579596575491208E-3</v>
      </c>
      <c r="V226" s="39">
        <f t="shared" si="125"/>
        <v>1.2431913465199807E-2</v>
      </c>
      <c r="W226" s="39">
        <f t="shared" si="125"/>
        <v>3.3920153749154194E-3</v>
      </c>
      <c r="X226" s="39">
        <f t="shared" si="125"/>
        <v>8.0886625763967983E-3</v>
      </c>
    </row>
    <row r="227" spans="2:59" x14ac:dyDescent="0.25">
      <c r="C227" s="31" t="str">
        <f t="shared" si="87"/>
        <v xml:space="preserve">Other Operating Income </v>
      </c>
      <c r="E227" t="str">
        <f>'2025 Data'!E226</f>
        <v>% of Branch Revenue</v>
      </c>
      <c r="I227" s="39">
        <f t="shared" ref="I227:X227" si="126">I51/I$56</f>
        <v>1.2975275442352174E-2</v>
      </c>
      <c r="J227" s="39">
        <f t="shared" si="126"/>
        <v>2.7221809689739765E-2</v>
      </c>
      <c r="K227" s="39">
        <f t="shared" si="126"/>
        <v>4.222773031734256E-2</v>
      </c>
      <c r="L227" s="39">
        <f t="shared" si="126"/>
        <v>3.2130453680789088E-2</v>
      </c>
      <c r="M227" s="39">
        <f t="shared" si="126"/>
        <v>3.3848891391715867E-2</v>
      </c>
      <c r="N227" s="39">
        <f t="shared" si="126"/>
        <v>1.618044105211535E-2</v>
      </c>
      <c r="O227" s="39">
        <f t="shared" si="126"/>
        <v>2.1069453299382628E-2</v>
      </c>
      <c r="P227" s="39">
        <f t="shared" si="126"/>
        <v>3.417041592520613E-2</v>
      </c>
      <c r="Q227" s="39">
        <f t="shared" si="126"/>
        <v>1.8949771835298203E-2</v>
      </c>
      <c r="R227" s="39">
        <f t="shared" si="126"/>
        <v>1.5206284160104487E-2</v>
      </c>
      <c r="S227" s="39">
        <f t="shared" si="126"/>
        <v>1.8677972977594104E-2</v>
      </c>
      <c r="T227" s="39">
        <f t="shared" si="126"/>
        <v>4.3340443749876251E-2</v>
      </c>
      <c r="U227" s="39">
        <f t="shared" si="126"/>
        <v>6.4308915465550662E-2</v>
      </c>
      <c r="V227" s="39">
        <f t="shared" si="126"/>
        <v>3.4488474678346509E-2</v>
      </c>
      <c r="W227" s="39">
        <f t="shared" si="126"/>
        <v>3.1220879504303536E-2</v>
      </c>
      <c r="X227" s="39">
        <f t="shared" si="126"/>
        <v>6.0309967988962029E-2</v>
      </c>
    </row>
    <row r="228" spans="2:59" s="18" customFormat="1" x14ac:dyDescent="0.25">
      <c r="C228" s="19" t="str">
        <f t="shared" si="87"/>
        <v>Total other operating income</v>
      </c>
      <c r="E228" s="18" t="str">
        <f>'2025 Data'!E227</f>
        <v>% of Branch Revenue</v>
      </c>
      <c r="I228" s="64">
        <f t="shared" ref="I228:X228" si="127">I52/I$56</f>
        <v>4.8976713128831194E-2</v>
      </c>
      <c r="J228" s="64">
        <f t="shared" si="127"/>
        <v>7.5992238474841364E-2</v>
      </c>
      <c r="K228" s="64">
        <f t="shared" si="127"/>
        <v>0.14649836374729311</v>
      </c>
      <c r="L228" s="64">
        <f t="shared" si="127"/>
        <v>0.12668256247576282</v>
      </c>
      <c r="M228" s="64">
        <f t="shared" si="127"/>
        <v>0.1360087027983633</v>
      </c>
      <c r="N228" s="64">
        <f t="shared" si="127"/>
        <v>7.1133811102791739E-2</v>
      </c>
      <c r="O228" s="64">
        <f t="shared" si="127"/>
        <v>8.4359528581236395E-2</v>
      </c>
      <c r="P228" s="64">
        <f t="shared" si="127"/>
        <v>0.13415008206558499</v>
      </c>
      <c r="Q228" s="64">
        <f t="shared" si="127"/>
        <v>5.9137503086682149E-2</v>
      </c>
      <c r="R228" s="64">
        <f t="shared" si="127"/>
        <v>7.1612391289496591E-2</v>
      </c>
      <c r="S228" s="64">
        <f t="shared" si="127"/>
        <v>6.7381988288060524E-2</v>
      </c>
      <c r="T228" s="64">
        <f t="shared" si="127"/>
        <v>0.11586553344302403</v>
      </c>
      <c r="U228" s="64">
        <f t="shared" si="127"/>
        <v>0.17819768154302379</v>
      </c>
      <c r="V228" s="64">
        <f t="shared" si="127"/>
        <v>0.13391593294793924</v>
      </c>
      <c r="W228" s="64">
        <f t="shared" si="127"/>
        <v>0.10191496615135995</v>
      </c>
      <c r="X228" s="64">
        <f t="shared" si="127"/>
        <v>0.27558468393050839</v>
      </c>
    </row>
    <row r="229" spans="2:59" x14ac:dyDescent="0.25">
      <c r="C229" s="31">
        <f t="shared" si="87"/>
        <v>0</v>
      </c>
    </row>
    <row r="230" spans="2:59" x14ac:dyDescent="0.25">
      <c r="C230" s="31" t="str">
        <f t="shared" si="87"/>
        <v>Other Income</v>
      </c>
      <c r="E230" t="str">
        <f>'2025 Data'!E229</f>
        <v>% of Branch Revenue</v>
      </c>
      <c r="I230" s="39">
        <f t="shared" ref="I230:X230" si="128">I54/I$56</f>
        <v>0</v>
      </c>
      <c r="J230" s="39">
        <f t="shared" si="128"/>
        <v>0</v>
      </c>
      <c r="K230" s="39">
        <f t="shared" si="128"/>
        <v>0</v>
      </c>
      <c r="L230" s="39">
        <f t="shared" si="128"/>
        <v>0</v>
      </c>
      <c r="M230" s="39">
        <f t="shared" si="128"/>
        <v>0</v>
      </c>
      <c r="N230" s="39">
        <f t="shared" si="128"/>
        <v>0</v>
      </c>
      <c r="O230" s="39">
        <f t="shared" si="128"/>
        <v>0</v>
      </c>
      <c r="P230" s="39">
        <f t="shared" si="128"/>
        <v>0</v>
      </c>
      <c r="Q230" s="39">
        <f t="shared" si="128"/>
        <v>0</v>
      </c>
      <c r="R230" s="39">
        <f t="shared" si="128"/>
        <v>0</v>
      </c>
      <c r="S230" s="39">
        <f t="shared" si="128"/>
        <v>0</v>
      </c>
      <c r="T230" s="39">
        <f t="shared" si="128"/>
        <v>0</v>
      </c>
      <c r="U230" s="39">
        <f t="shared" si="128"/>
        <v>0</v>
      </c>
      <c r="V230" s="39">
        <f t="shared" si="128"/>
        <v>0</v>
      </c>
      <c r="W230" s="39">
        <f t="shared" si="128"/>
        <v>0</v>
      </c>
      <c r="X230" s="39">
        <f t="shared" si="128"/>
        <v>0</v>
      </c>
    </row>
    <row r="231" spans="2:59" x14ac:dyDescent="0.25">
      <c r="C231" s="31">
        <f t="shared" si="87"/>
        <v>0</v>
      </c>
    </row>
    <row r="232" spans="2:59" s="18" customFormat="1" x14ac:dyDescent="0.25">
      <c r="C232" s="19" t="str">
        <f t="shared" si="87"/>
        <v>Total Revenue</v>
      </c>
      <c r="E232" s="18" t="str">
        <f>'2025 Data'!E231</f>
        <v>% of Branch Revenue</v>
      </c>
      <c r="I232" s="64">
        <f t="shared" ref="I232:X232" si="129">I56/I$56</f>
        <v>1</v>
      </c>
      <c r="J232" s="64">
        <f t="shared" si="129"/>
        <v>1</v>
      </c>
      <c r="K232" s="64">
        <f t="shared" si="129"/>
        <v>1</v>
      </c>
      <c r="L232" s="64">
        <f t="shared" si="129"/>
        <v>1</v>
      </c>
      <c r="M232" s="64">
        <f t="shared" si="129"/>
        <v>1</v>
      </c>
      <c r="N232" s="64">
        <f t="shared" si="129"/>
        <v>1</v>
      </c>
      <c r="O232" s="64">
        <f t="shared" si="129"/>
        <v>1</v>
      </c>
      <c r="P232" s="64">
        <f t="shared" si="129"/>
        <v>1</v>
      </c>
      <c r="Q232" s="64">
        <f t="shared" si="129"/>
        <v>1</v>
      </c>
      <c r="R232" s="64">
        <f t="shared" si="129"/>
        <v>1</v>
      </c>
      <c r="S232" s="64">
        <f t="shared" si="129"/>
        <v>1</v>
      </c>
      <c r="T232" s="64">
        <f t="shared" si="129"/>
        <v>1</v>
      </c>
      <c r="U232" s="64">
        <f t="shared" si="129"/>
        <v>1</v>
      </c>
      <c r="V232" s="64">
        <f t="shared" si="129"/>
        <v>1</v>
      </c>
      <c r="W232" s="64">
        <f t="shared" si="129"/>
        <v>1</v>
      </c>
      <c r="X232" s="64">
        <f t="shared" si="129"/>
        <v>1</v>
      </c>
    </row>
    <row r="233" spans="2:59" x14ac:dyDescent="0.25">
      <c r="C233" s="31">
        <f t="shared" si="87"/>
        <v>0</v>
      </c>
    </row>
    <row r="234" spans="2:59" x14ac:dyDescent="0.25">
      <c r="B234" s="42"/>
      <c r="C234" s="43" t="str">
        <f>'2025 Data'!C233</f>
        <v>Revenue Mix Across Branches - Consolidated Excl Interest</v>
      </c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</row>
    <row r="235" spans="2:59" x14ac:dyDescent="0.25">
      <c r="C235" s="31"/>
    </row>
    <row r="236" spans="2:59" x14ac:dyDescent="0.25">
      <c r="C236" s="31" t="str">
        <f>C210</f>
        <v>Total fees and Commision on loan Portfolio</v>
      </c>
      <c r="E236" t="str">
        <f>'2025 Data'!E235</f>
        <v>% of Branch Revenue</v>
      </c>
      <c r="I236" s="39">
        <f>I210</f>
        <v>2.5797318429359586E-2</v>
      </c>
      <c r="J236" s="39">
        <f t="shared" ref="J236:X236" si="130">J210</f>
        <v>3.0303819986580161E-2</v>
      </c>
      <c r="K236" s="39">
        <f t="shared" si="130"/>
        <v>5.0227519360113146E-2</v>
      </c>
      <c r="L236" s="39">
        <f t="shared" si="130"/>
        <v>6.2612428255044747E-2</v>
      </c>
      <c r="M236" s="39">
        <f t="shared" si="130"/>
        <v>3.734620592094863E-2</v>
      </c>
      <c r="N236" s="39">
        <f t="shared" si="130"/>
        <v>4.224433245811781E-2</v>
      </c>
      <c r="O236" s="39">
        <f t="shared" si="130"/>
        <v>2.9799383527550436E-2</v>
      </c>
      <c r="P236" s="39">
        <f t="shared" si="130"/>
        <v>4.8039332729869925E-2</v>
      </c>
      <c r="Q236" s="39">
        <f t="shared" si="130"/>
        <v>2.5979053759986229E-2</v>
      </c>
      <c r="R236" s="39">
        <f t="shared" si="130"/>
        <v>2.7807283213754232E-2</v>
      </c>
      <c r="S236" s="39">
        <f t="shared" si="130"/>
        <v>2.8534174848577121E-2</v>
      </c>
      <c r="T236" s="39">
        <f t="shared" si="130"/>
        <v>-7.1385748870776672E-2</v>
      </c>
      <c r="U236" s="39">
        <f t="shared" si="130"/>
        <v>4.0524836010120094E-2</v>
      </c>
      <c r="V236" s="39">
        <f>V210</f>
        <v>-3.6908714922872887E-3</v>
      </c>
      <c r="W236" s="39">
        <f t="shared" si="130"/>
        <v>4.9950817410401284E-2</v>
      </c>
      <c r="X236" s="39">
        <f t="shared" si="130"/>
        <v>7.1921981283545683E-2</v>
      </c>
    </row>
    <row r="237" spans="2:59" x14ac:dyDescent="0.25">
      <c r="C237" s="31" t="str">
        <f>C215</f>
        <v>Total Government Securities</v>
      </c>
      <c r="E237" t="str">
        <f>'2025 Data'!E236</f>
        <v>% of Branch Revenue</v>
      </c>
      <c r="I237" s="39">
        <f>I215</f>
        <v>9.0486570357596989E-3</v>
      </c>
      <c r="J237" s="39">
        <f t="shared" ref="J237:X237" si="131">J215</f>
        <v>2.204003251758585E-2</v>
      </c>
      <c r="K237" s="39">
        <f t="shared" si="131"/>
        <v>4.0572171256878675E-2</v>
      </c>
      <c r="L237" s="39">
        <f t="shared" si="131"/>
        <v>1.5945510348417756E-2</v>
      </c>
      <c r="M237" s="39">
        <f t="shared" si="131"/>
        <v>2.9574450602168623E-2</v>
      </c>
      <c r="N237" s="39">
        <f t="shared" si="131"/>
        <v>6.349039449280218E-2</v>
      </c>
      <c r="O237" s="39">
        <f t="shared" si="131"/>
        <v>3.9279623469883014E-2</v>
      </c>
      <c r="P237" s="39">
        <f t="shared" si="131"/>
        <v>5.1978697903346548E-2</v>
      </c>
      <c r="Q237" s="39">
        <f t="shared" si="131"/>
        <v>3.5432196168762836E-2</v>
      </c>
      <c r="R237" s="39">
        <f t="shared" si="131"/>
        <v>5.6450762633591294E-3</v>
      </c>
      <c r="S237" s="39">
        <f t="shared" si="131"/>
        <v>0</v>
      </c>
      <c r="T237" s="39">
        <f t="shared" si="131"/>
        <v>0</v>
      </c>
      <c r="U237" s="39">
        <f t="shared" si="131"/>
        <v>0</v>
      </c>
      <c r="V237" s="39">
        <f t="shared" si="131"/>
        <v>0</v>
      </c>
      <c r="W237" s="39">
        <f t="shared" si="131"/>
        <v>0</v>
      </c>
      <c r="X237" s="39">
        <f t="shared" si="131"/>
        <v>0</v>
      </c>
    </row>
    <row r="238" spans="2:59" x14ac:dyDescent="0.25">
      <c r="C238" s="31" t="str">
        <f>C219</f>
        <v>Total deposit with bank</v>
      </c>
      <c r="E238" t="str">
        <f>'2025 Data'!E237</f>
        <v>% of Branch Revenue</v>
      </c>
      <c r="I238" s="39">
        <f>I219</f>
        <v>2.9784942590732515E-3</v>
      </c>
      <c r="J238" s="39">
        <f t="shared" ref="J238:X238" si="132">J219</f>
        <v>0.25058534914287206</v>
      </c>
      <c r="K238" s="39">
        <f t="shared" si="132"/>
        <v>0.13339183489834264</v>
      </c>
      <c r="L238" s="39">
        <f t="shared" si="132"/>
        <v>0</v>
      </c>
      <c r="M238" s="39">
        <f t="shared" si="132"/>
        <v>0.17908338177422883</v>
      </c>
      <c r="N238" s="39">
        <f t="shared" si="132"/>
        <v>0</v>
      </c>
      <c r="O238" s="39">
        <f t="shared" si="132"/>
        <v>7.336321616399287E-2</v>
      </c>
      <c r="P238" s="39">
        <f t="shared" si="132"/>
        <v>0</v>
      </c>
      <c r="Q238" s="39">
        <f t="shared" si="132"/>
        <v>0</v>
      </c>
      <c r="R238" s="39">
        <f t="shared" si="132"/>
        <v>0</v>
      </c>
      <c r="S238" s="39">
        <f t="shared" si="132"/>
        <v>0</v>
      </c>
      <c r="T238" s="39">
        <f t="shared" si="132"/>
        <v>0</v>
      </c>
      <c r="U238" s="39">
        <f t="shared" si="132"/>
        <v>0</v>
      </c>
      <c r="V238" s="39">
        <f t="shared" si="132"/>
        <v>0</v>
      </c>
      <c r="W238" s="39">
        <f t="shared" si="132"/>
        <v>0</v>
      </c>
      <c r="X238" s="39">
        <f t="shared" si="132"/>
        <v>0</v>
      </c>
    </row>
    <row r="239" spans="2:59" x14ac:dyDescent="0.25">
      <c r="C239" s="31" t="str">
        <f>C221</f>
        <v>Interest Income From Financial Investment (Bank + Govnt)</v>
      </c>
      <c r="E239" t="str">
        <f>'2025 Data'!E238</f>
        <v>% of Branch Revenue</v>
      </c>
      <c r="I239" s="39">
        <f>I221</f>
        <v>1.2027151294832951E-2</v>
      </c>
      <c r="J239" s="39">
        <f t="shared" ref="J239:X239" si="133">J221</f>
        <v>0.27262538166045791</v>
      </c>
      <c r="K239" s="39">
        <f t="shared" si="133"/>
        <v>0.17396400615522131</v>
      </c>
      <c r="L239" s="39">
        <f t="shared" si="133"/>
        <v>1.5945510348417756E-2</v>
      </c>
      <c r="M239" s="39">
        <f t="shared" si="133"/>
        <v>0.20865783237639746</v>
      </c>
      <c r="N239" s="39">
        <f t="shared" si="133"/>
        <v>6.349039449280218E-2</v>
      </c>
      <c r="O239" s="39">
        <f t="shared" si="133"/>
        <v>0.11264283963387589</v>
      </c>
      <c r="P239" s="39">
        <f t="shared" si="133"/>
        <v>5.1978697903346548E-2</v>
      </c>
      <c r="Q239" s="39">
        <f t="shared" si="133"/>
        <v>3.5432196168762836E-2</v>
      </c>
      <c r="R239" s="39">
        <f t="shared" si="133"/>
        <v>5.6450762633591294E-3</v>
      </c>
      <c r="S239" s="39">
        <f t="shared" si="133"/>
        <v>0</v>
      </c>
      <c r="T239" s="39">
        <f t="shared" si="133"/>
        <v>0</v>
      </c>
      <c r="U239" s="39">
        <f t="shared" si="133"/>
        <v>0</v>
      </c>
      <c r="V239" s="39">
        <f t="shared" si="133"/>
        <v>0</v>
      </c>
      <c r="W239" s="39">
        <f t="shared" si="133"/>
        <v>0</v>
      </c>
      <c r="X239" s="39">
        <f t="shared" si="133"/>
        <v>0</v>
      </c>
    </row>
    <row r="240" spans="2:59" x14ac:dyDescent="0.25">
      <c r="C240" s="31" t="str">
        <f>C228</f>
        <v>Total other operating income</v>
      </c>
      <c r="E240" t="str">
        <f>'2025 Data'!E239</f>
        <v>% of Branch Revenue</v>
      </c>
      <c r="I240" s="39">
        <f>I228</f>
        <v>4.8976713128831194E-2</v>
      </c>
      <c r="J240" s="39">
        <f t="shared" ref="J240:X240" si="134">J228</f>
        <v>7.5992238474841364E-2</v>
      </c>
      <c r="K240" s="39">
        <f t="shared" si="134"/>
        <v>0.14649836374729311</v>
      </c>
      <c r="L240" s="39">
        <f t="shared" si="134"/>
        <v>0.12668256247576282</v>
      </c>
      <c r="M240" s="39">
        <f t="shared" si="134"/>
        <v>0.1360087027983633</v>
      </c>
      <c r="N240" s="39">
        <f t="shared" si="134"/>
        <v>7.1133811102791739E-2</v>
      </c>
      <c r="O240" s="39">
        <f t="shared" si="134"/>
        <v>8.4359528581236395E-2</v>
      </c>
      <c r="P240" s="39">
        <f>P228</f>
        <v>0.13415008206558499</v>
      </c>
      <c r="Q240" s="39">
        <f t="shared" si="134"/>
        <v>5.9137503086682149E-2</v>
      </c>
      <c r="R240" s="39">
        <f t="shared" si="134"/>
        <v>7.1612391289496591E-2</v>
      </c>
      <c r="S240" s="39">
        <f t="shared" si="134"/>
        <v>6.7381988288060524E-2</v>
      </c>
      <c r="T240" s="39">
        <f t="shared" si="134"/>
        <v>0.11586553344302403</v>
      </c>
      <c r="U240" s="39">
        <f t="shared" si="134"/>
        <v>0.17819768154302379</v>
      </c>
      <c r="V240" s="39">
        <f t="shared" si="134"/>
        <v>0.13391593294793924</v>
      </c>
      <c r="W240" s="39">
        <f t="shared" si="134"/>
        <v>0.10191496615135995</v>
      </c>
      <c r="X240" s="39">
        <f t="shared" si="134"/>
        <v>0.27558468393050839</v>
      </c>
    </row>
    <row r="241" spans="2:59" x14ac:dyDescent="0.25">
      <c r="C241" s="31"/>
    </row>
    <row r="242" spans="2:59" x14ac:dyDescent="0.25">
      <c r="B242" s="42"/>
      <c r="C242" s="43" t="str">
        <f>'2025 Data'!C241</f>
        <v>Expenses Per Branch - Vertical Analysis</v>
      </c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</row>
    <row r="243" spans="2:59" x14ac:dyDescent="0.25">
      <c r="C243" s="31"/>
    </row>
    <row r="244" spans="2:59" x14ac:dyDescent="0.25">
      <c r="C244" s="31" t="str">
        <f t="shared" ref="C244:C274" si="135">D146</f>
        <v>Interest on savings</v>
      </c>
      <c r="E244" t="str">
        <f>'2025 Data'!E243</f>
        <v>% of Branch Revenue</v>
      </c>
      <c r="I244" s="39">
        <f t="shared" ref="I244:X244" si="136">-I58/I$56</f>
        <v>0.17440186639535304</v>
      </c>
      <c r="J244" s="39">
        <f t="shared" si="136"/>
        <v>8.206267525376304E-2</v>
      </c>
      <c r="K244" s="39">
        <f t="shared" si="136"/>
        <v>0.10568635421173335</v>
      </c>
      <c r="L244" s="39">
        <f t="shared" si="136"/>
        <v>0.17925796082453049</v>
      </c>
      <c r="M244" s="39">
        <f t="shared" si="136"/>
        <v>0.16045796326441089</v>
      </c>
      <c r="N244" s="39">
        <f t="shared" si="136"/>
        <v>0.11972564919666516</v>
      </c>
      <c r="O244" s="39">
        <f t="shared" si="136"/>
        <v>0.14388925705834743</v>
      </c>
      <c r="P244" s="39">
        <f t="shared" si="136"/>
        <v>0.22690674200670619</v>
      </c>
      <c r="Q244" s="39">
        <f t="shared" si="136"/>
        <v>0.20758079866266813</v>
      </c>
      <c r="R244" s="39">
        <f t="shared" si="136"/>
        <v>0.17973446421018374</v>
      </c>
      <c r="S244" s="39">
        <f t="shared" si="136"/>
        <v>3.4787171439671055E-2</v>
      </c>
      <c r="T244" s="39">
        <f t="shared" si="136"/>
        <v>0.26819229129108391</v>
      </c>
      <c r="U244" s="39">
        <f t="shared" si="136"/>
        <v>8.7317532430152403E-2</v>
      </c>
      <c r="V244" s="39">
        <f t="shared" si="136"/>
        <v>0.15854160610861348</v>
      </c>
      <c r="W244" s="39">
        <f t="shared" si="136"/>
        <v>9.6923045139210975E-2</v>
      </c>
      <c r="X244" s="39">
        <f t="shared" si="136"/>
        <v>0.14752322782292276</v>
      </c>
    </row>
    <row r="245" spans="2:59" x14ac:dyDescent="0.25">
      <c r="C245" s="31" t="str">
        <f t="shared" si="135"/>
        <v xml:space="preserve">Interest on fixed deposits </v>
      </c>
      <c r="E245" t="str">
        <f>'2025 Data'!E244</f>
        <v>% of Branch Revenue</v>
      </c>
      <c r="I245" s="39">
        <f t="shared" ref="I245:X245" si="137">-I59/I$56</f>
        <v>4.6115354193948252E-3</v>
      </c>
      <c r="J245" s="39">
        <f t="shared" si="137"/>
        <v>2.5296940041237442E-3</v>
      </c>
      <c r="K245" s="39">
        <f t="shared" si="137"/>
        <v>7.4271908486419026E-3</v>
      </c>
      <c r="L245" s="39">
        <f t="shared" si="137"/>
        <v>7.7967440082198428E-3</v>
      </c>
      <c r="M245" s="39">
        <f t="shared" si="137"/>
        <v>7.1789842985550509E-2</v>
      </c>
      <c r="N245" s="39">
        <f t="shared" si="137"/>
        <v>3.025881085051978E-2</v>
      </c>
      <c r="O245" s="39">
        <f t="shared" si="137"/>
        <v>1.129334977630031E-2</v>
      </c>
      <c r="P245" s="39">
        <f t="shared" si="137"/>
        <v>8.5380840266856082E-3</v>
      </c>
      <c r="Q245" s="39">
        <f t="shared" si="137"/>
        <v>5.0200622237217335E-4</v>
      </c>
      <c r="R245" s="39">
        <f t="shared" si="137"/>
        <v>0</v>
      </c>
      <c r="S245" s="39">
        <f t="shared" si="137"/>
        <v>0</v>
      </c>
      <c r="T245" s="39">
        <f t="shared" si="137"/>
        <v>8.6928343517632695E-3</v>
      </c>
      <c r="U245" s="39">
        <f t="shared" si="137"/>
        <v>2.0972661527477094E-3</v>
      </c>
      <c r="V245" s="39">
        <f t="shared" si="137"/>
        <v>0</v>
      </c>
      <c r="W245" s="39">
        <f t="shared" si="137"/>
        <v>0</v>
      </c>
      <c r="X245" s="39">
        <f t="shared" si="137"/>
        <v>1.0594419318994257E-6</v>
      </c>
    </row>
    <row r="246" spans="2:59" x14ac:dyDescent="0.25">
      <c r="C246" s="31" t="str">
        <f t="shared" si="135"/>
        <v>Interest on Diaspora jijenge savings</v>
      </c>
      <c r="E246" t="str">
        <f>'2025 Data'!E245</f>
        <v>% of Branch Revenue</v>
      </c>
      <c r="I246" s="39">
        <f t="shared" ref="I246:X246" si="138">-I60/I$56</f>
        <v>0</v>
      </c>
      <c r="J246" s="39">
        <f t="shared" si="138"/>
        <v>0</v>
      </c>
      <c r="K246" s="39">
        <f t="shared" si="138"/>
        <v>0</v>
      </c>
      <c r="L246" s="39">
        <f t="shared" si="138"/>
        <v>0</v>
      </c>
      <c r="M246" s="39">
        <f t="shared" si="138"/>
        <v>0</v>
      </c>
      <c r="N246" s="39">
        <f t="shared" si="138"/>
        <v>0</v>
      </c>
      <c r="O246" s="39">
        <f t="shared" si="138"/>
        <v>0</v>
      </c>
      <c r="P246" s="39">
        <f t="shared" si="138"/>
        <v>0</v>
      </c>
      <c r="Q246" s="39">
        <f t="shared" si="138"/>
        <v>0</v>
      </c>
      <c r="R246" s="39">
        <f t="shared" si="138"/>
        <v>0</v>
      </c>
      <c r="S246" s="39">
        <f t="shared" si="138"/>
        <v>0</v>
      </c>
      <c r="T246" s="39">
        <f t="shared" si="138"/>
        <v>0</v>
      </c>
      <c r="U246" s="39">
        <f t="shared" si="138"/>
        <v>0</v>
      </c>
      <c r="V246" s="39">
        <f t="shared" si="138"/>
        <v>0</v>
      </c>
      <c r="W246" s="39">
        <f t="shared" si="138"/>
        <v>0</v>
      </c>
      <c r="X246" s="39">
        <f t="shared" si="138"/>
        <v>0</v>
      </c>
    </row>
    <row r="247" spans="2:59" s="18" customFormat="1" x14ac:dyDescent="0.25">
      <c r="C247" s="19" t="str">
        <f t="shared" si="135"/>
        <v>Total interest expense on deposits</v>
      </c>
      <c r="E247" s="18" t="str">
        <f>'2025 Data'!E246</f>
        <v>% of Branch Revenue</v>
      </c>
      <c r="I247" s="64">
        <f t="shared" ref="I247:X247" si="139">-I61/I$56</f>
        <v>0.17901340181474787</v>
      </c>
      <c r="J247" s="64">
        <f t="shared" si="139"/>
        <v>8.4592369257886782E-2</v>
      </c>
      <c r="K247" s="64">
        <f t="shared" si="139"/>
        <v>0.11311354506037526</v>
      </c>
      <c r="L247" s="64">
        <f t="shared" si="139"/>
        <v>0.18705470483275033</v>
      </c>
      <c r="M247" s="64">
        <f t="shared" si="139"/>
        <v>0.23224780624996139</v>
      </c>
      <c r="N247" s="64">
        <f t="shared" si="139"/>
        <v>0.14998446004718494</v>
      </c>
      <c r="O247" s="64">
        <f t="shared" si="139"/>
        <v>0.15518260683464774</v>
      </c>
      <c r="P247" s="64">
        <f t="shared" si="139"/>
        <v>0.23544482603339179</v>
      </c>
      <c r="Q247" s="64">
        <f t="shared" si="139"/>
        <v>0.20808280488504027</v>
      </c>
      <c r="R247" s="64">
        <f t="shared" si="139"/>
        <v>0.17973446421018374</v>
      </c>
      <c r="S247" s="64">
        <f t="shared" si="139"/>
        <v>3.4787171439671055E-2</v>
      </c>
      <c r="T247" s="64">
        <f t="shared" si="139"/>
        <v>0.27688512564284717</v>
      </c>
      <c r="U247" s="64">
        <f t="shared" si="139"/>
        <v>8.9414798582900107E-2</v>
      </c>
      <c r="V247" s="64">
        <f t="shared" si="139"/>
        <v>0.15854160610861348</v>
      </c>
      <c r="W247" s="64">
        <f t="shared" si="139"/>
        <v>9.6923045139210975E-2</v>
      </c>
      <c r="X247" s="64">
        <f t="shared" si="139"/>
        <v>0.14752428726485467</v>
      </c>
    </row>
    <row r="248" spans="2:59" x14ac:dyDescent="0.25">
      <c r="C248" s="31">
        <f t="shared" si="135"/>
        <v>0</v>
      </c>
    </row>
    <row r="249" spans="2:59" x14ac:dyDescent="0.25">
      <c r="C249" s="31" t="str">
        <f t="shared" si="135"/>
        <v>Mobile deposit charges paybill</v>
      </c>
      <c r="E249" t="str">
        <f>'2025 Data'!E248</f>
        <v>% of Branch Revenue</v>
      </c>
      <c r="I249" s="39">
        <f t="shared" ref="I249:X249" si="140">-I63/I$56</f>
        <v>6.301013415601661E-3</v>
      </c>
      <c r="J249" s="39">
        <f t="shared" si="140"/>
        <v>2.6696460500934701E-3</v>
      </c>
      <c r="K249" s="39">
        <f t="shared" si="140"/>
        <v>3.1735930520985353E-3</v>
      </c>
      <c r="L249" s="39">
        <f t="shared" si="140"/>
        <v>1.157286108552065E-2</v>
      </c>
      <c r="M249" s="39">
        <f t="shared" si="140"/>
        <v>7.4740413715126295E-3</v>
      </c>
      <c r="N249" s="39">
        <f t="shared" si="140"/>
        <v>1.3456287323636672E-2</v>
      </c>
      <c r="O249" s="39">
        <f t="shared" si="140"/>
        <v>1.2160884219650952E-2</v>
      </c>
      <c r="P249" s="39">
        <f t="shared" si="140"/>
        <v>2.7154360893766497E-2</v>
      </c>
      <c r="Q249" s="39">
        <f t="shared" si="140"/>
        <v>1.4108848932424615E-2</v>
      </c>
      <c r="R249" s="39">
        <f t="shared" si="140"/>
        <v>3.0813439981945929E-2</v>
      </c>
      <c r="S249" s="39">
        <f t="shared" si="140"/>
        <v>1.1643583872637735E-2</v>
      </c>
      <c r="T249" s="39">
        <f t="shared" si="140"/>
        <v>2.1455074224731984E-2</v>
      </c>
      <c r="U249" s="39">
        <f t="shared" si="140"/>
        <v>3.0103642792860243E-2</v>
      </c>
      <c r="V249" s="39">
        <f t="shared" si="140"/>
        <v>1.9524615997523857E-2</v>
      </c>
      <c r="W249" s="39">
        <f t="shared" si="140"/>
        <v>1.3219792731524274E-2</v>
      </c>
      <c r="X249" s="39">
        <f t="shared" si="140"/>
        <v>4.5414920721077369E-2</v>
      </c>
    </row>
    <row r="250" spans="2:59" x14ac:dyDescent="0.25">
      <c r="C250" s="31" t="str">
        <f t="shared" si="135"/>
        <v>loss impairement of financial assets</v>
      </c>
      <c r="E250" t="str">
        <f>'2025 Data'!E249</f>
        <v>% of Branch Revenue</v>
      </c>
      <c r="I250" s="39">
        <f t="shared" ref="I250:X250" si="141">-I64/I$56</f>
        <v>0</v>
      </c>
      <c r="J250" s="39">
        <f t="shared" si="141"/>
        <v>1.1374061365126661E-3</v>
      </c>
      <c r="K250" s="39">
        <f t="shared" si="141"/>
        <v>1.2852197724895344E-2</v>
      </c>
      <c r="L250" s="39">
        <f t="shared" si="141"/>
        <v>0</v>
      </c>
      <c r="M250" s="39">
        <f t="shared" si="141"/>
        <v>0</v>
      </c>
      <c r="N250" s="39">
        <f t="shared" si="141"/>
        <v>0</v>
      </c>
      <c r="O250" s="39">
        <f t="shared" si="141"/>
        <v>0</v>
      </c>
      <c r="P250" s="39">
        <f t="shared" si="141"/>
        <v>0</v>
      </c>
      <c r="Q250" s="39">
        <f t="shared" si="141"/>
        <v>0</v>
      </c>
      <c r="R250" s="39">
        <f t="shared" si="141"/>
        <v>0</v>
      </c>
      <c r="S250" s="39">
        <f t="shared" si="141"/>
        <v>0</v>
      </c>
      <c r="T250" s="39">
        <f t="shared" si="141"/>
        <v>0</v>
      </c>
      <c r="U250" s="39">
        <f t="shared" si="141"/>
        <v>0</v>
      </c>
      <c r="V250" s="39">
        <f t="shared" si="141"/>
        <v>0</v>
      </c>
      <c r="W250" s="39">
        <f t="shared" si="141"/>
        <v>0</v>
      </c>
      <c r="X250" s="39">
        <f t="shared" si="141"/>
        <v>0</v>
      </c>
    </row>
    <row r="251" spans="2:59" x14ac:dyDescent="0.25">
      <c r="C251" s="31" t="str">
        <f t="shared" si="135"/>
        <v>Appraisal fee</v>
      </c>
      <c r="E251" t="str">
        <f>'2025 Data'!E250</f>
        <v>% of Branch Revenue</v>
      </c>
      <c r="I251" s="39">
        <f t="shared" ref="I251:X251" si="142">-I65/I$56</f>
        <v>0</v>
      </c>
      <c r="J251" s="39">
        <f t="shared" si="142"/>
        <v>0</v>
      </c>
      <c r="K251" s="39">
        <f t="shared" si="142"/>
        <v>0</v>
      </c>
      <c r="L251" s="39">
        <f t="shared" si="142"/>
        <v>0</v>
      </c>
      <c r="M251" s="39">
        <f t="shared" si="142"/>
        <v>0</v>
      </c>
      <c r="N251" s="39">
        <f t="shared" si="142"/>
        <v>0</v>
      </c>
      <c r="O251" s="39">
        <f t="shared" si="142"/>
        <v>0</v>
      </c>
      <c r="P251" s="39">
        <f t="shared" si="142"/>
        <v>0</v>
      </c>
      <c r="Q251" s="39">
        <f t="shared" si="142"/>
        <v>0</v>
      </c>
      <c r="R251" s="39">
        <f t="shared" si="142"/>
        <v>1.5227793418307847E-4</v>
      </c>
      <c r="S251" s="39">
        <f t="shared" si="142"/>
        <v>1.1510177205861412E-4</v>
      </c>
      <c r="T251" s="39">
        <f t="shared" si="142"/>
        <v>5.6020488044696622E-4</v>
      </c>
      <c r="U251" s="39">
        <f t="shared" si="142"/>
        <v>4.7224721197052232E-4</v>
      </c>
      <c r="V251" s="39">
        <f t="shared" si="142"/>
        <v>0</v>
      </c>
      <c r="W251" s="39">
        <f t="shared" si="142"/>
        <v>0</v>
      </c>
      <c r="X251" s="39">
        <f t="shared" si="142"/>
        <v>0</v>
      </c>
    </row>
    <row r="252" spans="2:59" x14ac:dyDescent="0.25">
      <c r="C252" s="31" t="str">
        <f t="shared" si="135"/>
        <v>Other Expenses</v>
      </c>
      <c r="E252" t="str">
        <f>'2025 Data'!E251</f>
        <v>% of Branch Revenue</v>
      </c>
      <c r="I252" s="39">
        <f t="shared" ref="I252:X252" si="143">-I66/I$56</f>
        <v>9.4088334622917369E-4</v>
      </c>
      <c r="J252" s="39">
        <f t="shared" si="143"/>
        <v>6.7420074949286655E-4</v>
      </c>
      <c r="K252" s="39">
        <f t="shared" si="143"/>
        <v>7.6571405071941285E-4</v>
      </c>
      <c r="L252" s="39">
        <f t="shared" si="143"/>
        <v>1.5939613369038046E-3</v>
      </c>
      <c r="M252" s="39">
        <f t="shared" si="143"/>
        <v>5.1978656923126548E-4</v>
      </c>
      <c r="N252" s="39">
        <f t="shared" si="143"/>
        <v>2.8932566695661125E-4</v>
      </c>
      <c r="O252" s="39">
        <f t="shared" si="143"/>
        <v>8.2197143150164584E-4</v>
      </c>
      <c r="P252" s="39">
        <f t="shared" si="143"/>
        <v>6.8040157345980337E-4</v>
      </c>
      <c r="Q252" s="39">
        <f t="shared" si="143"/>
        <v>2.2870339697057197E-4</v>
      </c>
      <c r="R252" s="39">
        <f t="shared" si="143"/>
        <v>7.5784920894563575E-4</v>
      </c>
      <c r="S252" s="39">
        <f t="shared" si="143"/>
        <v>2.1201003821118926E-4</v>
      </c>
      <c r="T252" s="39">
        <f t="shared" si="143"/>
        <v>1.4391470204585857E-4</v>
      </c>
      <c r="U252" s="39">
        <f t="shared" si="143"/>
        <v>1.9933717661141945E-3</v>
      </c>
      <c r="V252" s="39">
        <f t="shared" si="143"/>
        <v>1.7866652113962824E-4</v>
      </c>
      <c r="W252" s="39">
        <f t="shared" si="143"/>
        <v>1.0300326926490746E-5</v>
      </c>
      <c r="X252" s="39">
        <f t="shared" si="143"/>
        <v>-1.3278338879806135E-4</v>
      </c>
    </row>
    <row r="253" spans="2:59" s="18" customFormat="1" x14ac:dyDescent="0.25">
      <c r="C253" s="19" t="str">
        <f t="shared" si="135"/>
        <v xml:space="preserve">Total fees and commission expenses </v>
      </c>
      <c r="E253" s="18" t="str">
        <f>'2025 Data'!E252</f>
        <v>% of Branch Revenue</v>
      </c>
      <c r="I253" s="64">
        <f t="shared" ref="I253:X253" si="144">-I67/I$56</f>
        <v>7.2418967618308348E-3</v>
      </c>
      <c r="J253" s="64">
        <f t="shared" si="144"/>
        <v>4.4812529360990028E-3</v>
      </c>
      <c r="K253" s="64">
        <f t="shared" si="144"/>
        <v>1.6791504827713293E-2</v>
      </c>
      <c r="L253" s="64">
        <f t="shared" si="144"/>
        <v>1.3166822422424455E-2</v>
      </c>
      <c r="M253" s="64">
        <f t="shared" si="144"/>
        <v>7.9938279407438945E-3</v>
      </c>
      <c r="N253" s="64">
        <f t="shared" si="144"/>
        <v>1.3745612990593284E-2</v>
      </c>
      <c r="O253" s="64">
        <f t="shared" si="144"/>
        <v>1.2982855651152597E-2</v>
      </c>
      <c r="P253" s="64">
        <f t="shared" si="144"/>
        <v>2.7834762467226302E-2</v>
      </c>
      <c r="Q253" s="64">
        <f t="shared" si="144"/>
        <v>1.4337552329395186E-2</v>
      </c>
      <c r="R253" s="64">
        <f t="shared" si="144"/>
        <v>3.1723567125074639E-2</v>
      </c>
      <c r="S253" s="64">
        <f t="shared" si="144"/>
        <v>1.1970695682907539E-2</v>
      </c>
      <c r="T253" s="64">
        <f t="shared" si="144"/>
        <v>2.2159193807224808E-2</v>
      </c>
      <c r="U253" s="64">
        <f t="shared" si="144"/>
        <v>3.2569261770944956E-2</v>
      </c>
      <c r="V253" s="64">
        <f t="shared" si="144"/>
        <v>1.9703282518663483E-2</v>
      </c>
      <c r="W253" s="64">
        <f t="shared" si="144"/>
        <v>1.3230093058450765E-2</v>
      </c>
      <c r="X253" s="64">
        <f t="shared" si="144"/>
        <v>4.5282137332279308E-2</v>
      </c>
    </row>
    <row r="254" spans="2:59" x14ac:dyDescent="0.25">
      <c r="C254" s="31"/>
    </row>
    <row r="255" spans="2:59" x14ac:dyDescent="0.25">
      <c r="C255" s="31" t="str">
        <f t="shared" si="135"/>
        <v>Other Expenses</v>
      </c>
      <c r="E255" t="str">
        <f>'2025 Data'!E254</f>
        <v>% of Branch Revenue</v>
      </c>
      <c r="I255" s="39">
        <f t="shared" ref="I255:X255" si="145">-I69/I$56</f>
        <v>0</v>
      </c>
      <c r="J255" s="39">
        <f t="shared" si="145"/>
        <v>0</v>
      </c>
      <c r="K255" s="39">
        <f t="shared" si="145"/>
        <v>0</v>
      </c>
      <c r="L255" s="39">
        <f t="shared" si="145"/>
        <v>0</v>
      </c>
      <c r="M255" s="39">
        <f t="shared" si="145"/>
        <v>0</v>
      </c>
      <c r="N255" s="39">
        <f t="shared" si="145"/>
        <v>0</v>
      </c>
      <c r="O255" s="39">
        <f t="shared" si="145"/>
        <v>0</v>
      </c>
      <c r="P255" s="39">
        <f t="shared" si="145"/>
        <v>0</v>
      </c>
      <c r="Q255" s="39">
        <f t="shared" si="145"/>
        <v>0</v>
      </c>
      <c r="R255" s="39">
        <f t="shared" si="145"/>
        <v>0</v>
      </c>
      <c r="S255" s="39">
        <f t="shared" si="145"/>
        <v>0</v>
      </c>
      <c r="T255" s="39">
        <f t="shared" si="145"/>
        <v>0</v>
      </c>
      <c r="U255" s="39">
        <f t="shared" si="145"/>
        <v>0</v>
      </c>
      <c r="V255" s="39">
        <f t="shared" si="145"/>
        <v>0</v>
      </c>
      <c r="W255" s="39">
        <f t="shared" si="145"/>
        <v>0</v>
      </c>
      <c r="X255" s="39">
        <f t="shared" si="145"/>
        <v>0</v>
      </c>
    </row>
    <row r="256" spans="2:59" x14ac:dyDescent="0.25">
      <c r="C256" s="31"/>
    </row>
    <row r="257" spans="3:24" x14ac:dyDescent="0.25">
      <c r="C257" s="31" t="str">
        <f t="shared" si="135"/>
        <v>Total Provision for Loan Losses</v>
      </c>
      <c r="E257" t="str">
        <f>'2025 Data'!E256</f>
        <v>% of Branch Revenue</v>
      </c>
      <c r="I257" s="39">
        <f t="shared" ref="I257:X257" si="146">-I71/I$56</f>
        <v>6.1572815060823932E-2</v>
      </c>
      <c r="J257" s="39">
        <f t="shared" si="146"/>
        <v>5.6648823741601212E-2</v>
      </c>
      <c r="K257" s="39">
        <f t="shared" si="146"/>
        <v>-4.0790845795654333E-2</v>
      </c>
      <c r="L257" s="39">
        <f t="shared" si="146"/>
        <v>4.4901846535602717E-2</v>
      </c>
      <c r="M257" s="39">
        <f t="shared" si="146"/>
        <v>0.1584746975550351</v>
      </c>
      <c r="N257" s="39">
        <f t="shared" si="146"/>
        <v>4.5172301749556505E-2</v>
      </c>
      <c r="O257" s="39">
        <f t="shared" si="146"/>
        <v>4.6515619702687465E-2</v>
      </c>
      <c r="P257" s="39">
        <f t="shared" si="146"/>
        <v>9.8265068422021429E-2</v>
      </c>
      <c r="Q257" s="39">
        <f t="shared" si="146"/>
        <v>0.28002959342028033</v>
      </c>
      <c r="R257" s="39">
        <f t="shared" si="146"/>
        <v>0.55111152708366795</v>
      </c>
      <c r="S257" s="39">
        <f t="shared" si="146"/>
        <v>0.53677518325594475</v>
      </c>
      <c r="T257" s="39">
        <f t="shared" si="146"/>
        <v>0.11218711229355122</v>
      </c>
      <c r="U257" s="39">
        <f t="shared" si="146"/>
        <v>0.29211665515767643</v>
      </c>
      <c r="V257" s="39">
        <f t="shared" si="146"/>
        <v>0.12498475703247297</v>
      </c>
      <c r="W257" s="39">
        <f t="shared" si="146"/>
        <v>7.7189884819978544E-2</v>
      </c>
      <c r="X257" s="39">
        <f t="shared" si="146"/>
        <v>3.4153935853263054E-2</v>
      </c>
    </row>
    <row r="258" spans="3:24" x14ac:dyDescent="0.25">
      <c r="C258" s="31"/>
    </row>
    <row r="259" spans="3:24" x14ac:dyDescent="0.25">
      <c r="C259" s="31" t="str">
        <f t="shared" si="135"/>
        <v>Staff salaries</v>
      </c>
      <c r="E259" t="str">
        <f>'2025 Data'!E258</f>
        <v>% of Branch Revenue</v>
      </c>
      <c r="I259" s="39">
        <f t="shared" ref="I259:X259" si="147">-I73/I$56</f>
        <v>4.7227919343458644E-2</v>
      </c>
      <c r="J259" s="39">
        <f t="shared" si="147"/>
        <v>4.1559816925962036E-2</v>
      </c>
      <c r="K259" s="39">
        <f t="shared" si="147"/>
        <v>0.15056271742211103</v>
      </c>
      <c r="L259" s="39">
        <f t="shared" si="147"/>
        <v>0.15205615174060477</v>
      </c>
      <c r="M259" s="39">
        <f t="shared" si="147"/>
        <v>0.10828691983634109</v>
      </c>
      <c r="N259" s="39">
        <f t="shared" si="147"/>
        <v>0.11622605182271538</v>
      </c>
      <c r="O259" s="39">
        <f t="shared" si="147"/>
        <v>8.5297846959885612E-2</v>
      </c>
      <c r="P259" s="39">
        <f t="shared" si="147"/>
        <v>0.12356517941616399</v>
      </c>
      <c r="Q259" s="39">
        <f t="shared" si="147"/>
        <v>0.10950033128208236</v>
      </c>
      <c r="R259" s="39">
        <f t="shared" si="147"/>
        <v>0.12323280267709176</v>
      </c>
      <c r="S259" s="39">
        <f t="shared" si="147"/>
        <v>0.12346944810965203</v>
      </c>
      <c r="T259" s="39">
        <f t="shared" si="147"/>
        <v>0.32076114457584037</v>
      </c>
      <c r="U259" s="39">
        <f t="shared" si="147"/>
        <v>0.23228472468353942</v>
      </c>
      <c r="V259" s="39">
        <f t="shared" si="147"/>
        <v>0.32479454117976625</v>
      </c>
      <c r="W259" s="39">
        <f t="shared" si="147"/>
        <v>0.1112444725502762</v>
      </c>
      <c r="X259" s="39">
        <f t="shared" si="147"/>
        <v>0.4872481154735202</v>
      </c>
    </row>
    <row r="260" spans="3:24" x14ac:dyDescent="0.25">
      <c r="C260" s="31" t="str">
        <f t="shared" si="135"/>
        <v>House alowance</v>
      </c>
      <c r="E260" t="str">
        <f>'2025 Data'!E259</f>
        <v>% of Branch Revenue</v>
      </c>
      <c r="I260" s="39">
        <f t="shared" ref="I260:X260" si="148">-I74/I$56</f>
        <v>1.1038875434625089E-2</v>
      </c>
      <c r="J260" s="39">
        <f t="shared" si="148"/>
        <v>9.5843143173022054E-3</v>
      </c>
      <c r="K260" s="39">
        <f t="shared" si="148"/>
        <v>3.6071148674147943E-2</v>
      </c>
      <c r="L260" s="39">
        <f t="shared" si="148"/>
        <v>3.6764542204993846E-2</v>
      </c>
      <c r="M260" s="39">
        <f t="shared" si="148"/>
        <v>2.58969253293624E-2</v>
      </c>
      <c r="N260" s="39">
        <f t="shared" si="148"/>
        <v>2.7765092422355735E-2</v>
      </c>
      <c r="O260" s="39">
        <f t="shared" si="148"/>
        <v>2.0018043932541918E-2</v>
      </c>
      <c r="P260" s="39">
        <f t="shared" si="148"/>
        <v>2.8788362648390832E-2</v>
      </c>
      <c r="Q260" s="39">
        <f t="shared" si="148"/>
        <v>2.4820807633642292E-2</v>
      </c>
      <c r="R260" s="39">
        <f t="shared" si="148"/>
        <v>2.8543166330693957E-2</v>
      </c>
      <c r="S260" s="39">
        <f t="shared" si="148"/>
        <v>2.6214020160706581E-2</v>
      </c>
      <c r="T260" s="39">
        <f t="shared" si="148"/>
        <v>7.0068494705339476E-2</v>
      </c>
      <c r="U260" s="39">
        <f t="shared" si="148"/>
        <v>4.9213126225247428E-2</v>
      </c>
      <c r="V260" s="39">
        <f t="shared" si="148"/>
        <v>7.761550125071684E-2</v>
      </c>
      <c r="W260" s="39">
        <f t="shared" si="148"/>
        <v>2.5960855697010763E-2</v>
      </c>
      <c r="X260" s="39">
        <f t="shared" si="148"/>
        <v>0.10619298547028362</v>
      </c>
    </row>
    <row r="261" spans="3:24" x14ac:dyDescent="0.25">
      <c r="C261" s="31" t="str">
        <f t="shared" si="135"/>
        <v>Other personnel expenses</v>
      </c>
      <c r="E261" t="str">
        <f>'2025 Data'!E260</f>
        <v>% of Branch Revenue</v>
      </c>
      <c r="I261" s="39">
        <f t="shared" ref="I261:X261" si="149">-I75/I$56</f>
        <v>2.1983827523365144E-2</v>
      </c>
      <c r="J261" s="39">
        <f t="shared" si="149"/>
        <v>1.9761923442021875E-2</v>
      </c>
      <c r="K261" s="39">
        <f t="shared" si="149"/>
        <v>6.8441651307477022E-2</v>
      </c>
      <c r="L261" s="39">
        <f t="shared" si="149"/>
        <v>8.8424424741850943E-2</v>
      </c>
      <c r="M261" s="39">
        <f t="shared" si="149"/>
        <v>4.7711009924164619E-2</v>
      </c>
      <c r="N261" s="39">
        <f t="shared" si="149"/>
        <v>8.489835458135972E-2</v>
      </c>
      <c r="O261" s="39">
        <f t="shared" si="149"/>
        <v>4.3831086646804025E-2</v>
      </c>
      <c r="P261" s="39">
        <f t="shared" si="149"/>
        <v>5.7346250012444713E-2</v>
      </c>
      <c r="Q261" s="39">
        <f t="shared" si="149"/>
        <v>5.4226642511973296E-2</v>
      </c>
      <c r="R261" s="39">
        <f t="shared" si="149"/>
        <v>7.8112108423716478E-2</v>
      </c>
      <c r="S261" s="39">
        <f t="shared" si="149"/>
        <v>0.10365972767589064</v>
      </c>
      <c r="T261" s="39">
        <f t="shared" si="149"/>
        <v>0.19616365902647018</v>
      </c>
      <c r="U261" s="39">
        <f t="shared" si="149"/>
        <v>0.13741620359977766</v>
      </c>
      <c r="V261" s="39">
        <f t="shared" si="149"/>
        <v>0.17349983346642026</v>
      </c>
      <c r="W261" s="39">
        <f t="shared" si="149"/>
        <v>8.6768453123977324E-2</v>
      </c>
      <c r="X261" s="39">
        <f t="shared" si="149"/>
        <v>0.35782315759958006</v>
      </c>
    </row>
    <row r="262" spans="3:24" s="18" customFormat="1" x14ac:dyDescent="0.25">
      <c r="C262" s="19" t="str">
        <f t="shared" si="135"/>
        <v xml:space="preserve">Total personnel expenses </v>
      </c>
      <c r="E262" s="18" t="str">
        <f>'2025 Data'!E261</f>
        <v>% of Branch Revenue</v>
      </c>
      <c r="I262" s="64">
        <f t="shared" ref="I262:X262" si="150">-I76/I$56</f>
        <v>8.0250622301448873E-2</v>
      </c>
      <c r="J262" s="64">
        <f t="shared" si="150"/>
        <v>7.0906054685286116E-2</v>
      </c>
      <c r="K262" s="64">
        <f t="shared" si="150"/>
        <v>0.25507551740373596</v>
      </c>
      <c r="L262" s="64">
        <f t="shared" si="150"/>
        <v>0.27724511868744955</v>
      </c>
      <c r="M262" s="64">
        <f t="shared" si="150"/>
        <v>0.18189485508986811</v>
      </c>
      <c r="N262" s="64">
        <f t="shared" si="150"/>
        <v>0.22888949882643084</v>
      </c>
      <c r="O262" s="64">
        <f t="shared" si="150"/>
        <v>0.14914697753923156</v>
      </c>
      <c r="P262" s="64">
        <f t="shared" si="150"/>
        <v>0.20969979207699954</v>
      </c>
      <c r="Q262" s="64">
        <f t="shared" si="150"/>
        <v>0.18854778142769796</v>
      </c>
      <c r="R262" s="64">
        <f t="shared" si="150"/>
        <v>0.22988807743150219</v>
      </c>
      <c r="S262" s="64">
        <f t="shared" si="150"/>
        <v>0.25334319594624927</v>
      </c>
      <c r="T262" s="64">
        <f t="shared" si="150"/>
        <v>0.58699329830765001</v>
      </c>
      <c r="U262" s="64">
        <f t="shared" si="150"/>
        <v>0.4189140545085645</v>
      </c>
      <c r="V262" s="64">
        <f t="shared" si="150"/>
        <v>0.57590987589690334</v>
      </c>
      <c r="W262" s="64">
        <f t="shared" si="150"/>
        <v>0.22397378137126428</v>
      </c>
      <c r="X262" s="64">
        <f t="shared" si="150"/>
        <v>0.95126425854338392</v>
      </c>
    </row>
    <row r="263" spans="3:24" x14ac:dyDescent="0.25">
      <c r="C263" s="31"/>
    </row>
    <row r="264" spans="3:24" x14ac:dyDescent="0.25">
      <c r="C264" s="31" t="str">
        <f t="shared" si="135"/>
        <v>Total governance Expenses</v>
      </c>
      <c r="E264" t="str">
        <f>'2025 Data'!E263</f>
        <v>% of Branch Revenue</v>
      </c>
      <c r="I264" s="39">
        <f t="shared" ref="I264:X264" si="151">-I78/I$56</f>
        <v>3.3977219584139143E-2</v>
      </c>
      <c r="J264" s="39">
        <f t="shared" si="151"/>
        <v>5.4855525222502685E-2</v>
      </c>
      <c r="K264" s="39">
        <f t="shared" si="151"/>
        <v>7.3926983998590684E-2</v>
      </c>
      <c r="L264" s="39">
        <f t="shared" si="151"/>
        <v>0.12139617430533778</v>
      </c>
      <c r="M264" s="39">
        <f t="shared" si="151"/>
        <v>0.12852673060018413</v>
      </c>
      <c r="N264" s="39">
        <f t="shared" si="151"/>
        <v>8.0120565815736525E-2</v>
      </c>
      <c r="O264" s="39">
        <f t="shared" si="151"/>
        <v>5.7378764419305131E-2</v>
      </c>
      <c r="P264" s="39">
        <f t="shared" si="151"/>
        <v>6.710022727145909E-2</v>
      </c>
      <c r="Q264" s="39">
        <f t="shared" si="151"/>
        <v>4.6571402974211251E-2</v>
      </c>
      <c r="R264" s="39">
        <f t="shared" si="151"/>
        <v>1.0815635449062012E-2</v>
      </c>
      <c r="S264" s="39">
        <f t="shared" si="151"/>
        <v>2.1653465174120947E-2</v>
      </c>
      <c r="T264" s="39">
        <f t="shared" si="151"/>
        <v>3.283959643999457E-3</v>
      </c>
      <c r="U264" s="39">
        <f t="shared" si="151"/>
        <v>0</v>
      </c>
      <c r="V264" s="39">
        <f t="shared" si="151"/>
        <v>1.6382030591599152E-3</v>
      </c>
      <c r="W264" s="39">
        <f t="shared" si="151"/>
        <v>0</v>
      </c>
      <c r="X264" s="39">
        <f t="shared" si="151"/>
        <v>0</v>
      </c>
    </row>
    <row r="265" spans="3:24" x14ac:dyDescent="0.25">
      <c r="C265" s="31"/>
    </row>
    <row r="266" spans="3:24" x14ac:dyDescent="0.25">
      <c r="C266" s="31" t="str">
        <f t="shared" si="135"/>
        <v>Total Marketing Expenses</v>
      </c>
      <c r="E266" t="str">
        <f>'2025 Data'!E265</f>
        <v>% of Branch Revenue</v>
      </c>
      <c r="I266" s="39">
        <f t="shared" ref="I266:X266" si="152">-I80/I$56</f>
        <v>1.0930537283219829E-3</v>
      </c>
      <c r="J266" s="39">
        <f t="shared" si="152"/>
        <v>9.3914884115168205E-4</v>
      </c>
      <c r="K266" s="39">
        <f t="shared" si="152"/>
        <v>2.7455309061497225E-3</v>
      </c>
      <c r="L266" s="39">
        <f t="shared" si="152"/>
        <v>2.1771960292630769E-3</v>
      </c>
      <c r="M266" s="39">
        <f t="shared" si="152"/>
        <v>1.912305182606668E-4</v>
      </c>
      <c r="N266" s="39">
        <f t="shared" si="152"/>
        <v>2.1081863260524283E-3</v>
      </c>
      <c r="O266" s="39">
        <f t="shared" si="152"/>
        <v>1.7216776072331199E-3</v>
      </c>
      <c r="P266" s="39">
        <f t="shared" si="152"/>
        <v>6.1396756884225844E-4</v>
      </c>
      <c r="Q266" s="39">
        <f t="shared" si="152"/>
        <v>3.3346570333823941E-3</v>
      </c>
      <c r="R266" s="39">
        <f t="shared" si="152"/>
        <v>1.1845700500101675E-3</v>
      </c>
      <c r="S266" s="39">
        <f t="shared" si="152"/>
        <v>6.5013936411172047E-3</v>
      </c>
      <c r="T266" s="39">
        <f t="shared" si="152"/>
        <v>1.0514079735506027E-2</v>
      </c>
      <c r="U266" s="39">
        <f t="shared" si="152"/>
        <v>7.3472709769972456E-3</v>
      </c>
      <c r="V266" s="39">
        <f t="shared" si="152"/>
        <v>1.0250646091928379E-2</v>
      </c>
      <c r="W266" s="39">
        <f t="shared" si="152"/>
        <v>9.1231467063203754E-5</v>
      </c>
      <c r="X266" s="39">
        <f t="shared" si="152"/>
        <v>1.8266191495188634E-2</v>
      </c>
    </row>
    <row r="267" spans="3:24" x14ac:dyDescent="0.25">
      <c r="C267" s="31"/>
    </row>
    <row r="268" spans="3:24" x14ac:dyDescent="0.25">
      <c r="C268" s="31" t="str">
        <f t="shared" si="135"/>
        <v>Total Depreciation and amortization</v>
      </c>
      <c r="E268" t="str">
        <f>'2025 Data'!E267</f>
        <v>% of Branch Revenue</v>
      </c>
      <c r="I268" s="39">
        <f t="shared" ref="I268:X268" si="153">-I82/I$56</f>
        <v>1.0167314077130351E-3</v>
      </c>
      <c r="J268" s="39">
        <f t="shared" si="153"/>
        <v>6.8249368958655653E-4</v>
      </c>
      <c r="K268" s="39">
        <f t="shared" si="153"/>
        <v>3.0479186312015057E-3</v>
      </c>
      <c r="L268" s="39">
        <f t="shared" si="153"/>
        <v>2.0032546639834762E-3</v>
      </c>
      <c r="M268" s="39">
        <f t="shared" si="153"/>
        <v>2.1383763814562E-3</v>
      </c>
      <c r="N268" s="39">
        <f t="shared" si="153"/>
        <v>4.279238824856659E-3</v>
      </c>
      <c r="O268" s="39">
        <f t="shared" si="153"/>
        <v>8.7152528959458394E-4</v>
      </c>
      <c r="P268" s="39">
        <f t="shared" si="153"/>
        <v>3.1429881791399297E-3</v>
      </c>
      <c r="Q268" s="39">
        <f t="shared" si="153"/>
        <v>4.1292066659850751E-3</v>
      </c>
      <c r="R268" s="39">
        <f t="shared" si="153"/>
        <v>4.6271173080870221E-3</v>
      </c>
      <c r="S268" s="39">
        <f t="shared" si="153"/>
        <v>7.6178437004818713E-3</v>
      </c>
      <c r="T268" s="39">
        <f t="shared" si="153"/>
        <v>8.1286694023338327E-3</v>
      </c>
      <c r="U268" s="39">
        <f t="shared" si="153"/>
        <v>5.087160958052804E-3</v>
      </c>
      <c r="V268" s="39">
        <f t="shared" si="153"/>
        <v>2.1380392900478447E-2</v>
      </c>
      <c r="W268" s="39">
        <f t="shared" si="153"/>
        <v>6.7694925741117349E-3</v>
      </c>
      <c r="X268" s="39">
        <f t="shared" si="153"/>
        <v>1.8189911676091873E-2</v>
      </c>
    </row>
    <row r="269" spans="3:24" x14ac:dyDescent="0.25">
      <c r="C269" s="31"/>
    </row>
    <row r="270" spans="3:24" x14ac:dyDescent="0.25">
      <c r="C270" s="31" t="str">
        <f t="shared" si="135"/>
        <v>Security</v>
      </c>
      <c r="E270" t="str">
        <f>'2025 Data'!E269</f>
        <v>% of Branch Revenue</v>
      </c>
      <c r="I270" s="39">
        <f t="shared" ref="I270:X270" si="154">-I84/I$56</f>
        <v>1.1771512266999498E-2</v>
      </c>
      <c r="J270" s="39">
        <f t="shared" si="154"/>
        <v>8.5292448981239867E-3</v>
      </c>
      <c r="K270" s="39">
        <f t="shared" si="154"/>
        <v>4.5564040875265312E-2</v>
      </c>
      <c r="L270" s="39">
        <f t="shared" si="154"/>
        <v>3.4564988422784521E-2</v>
      </c>
      <c r="M270" s="39">
        <f t="shared" si="154"/>
        <v>1.8389218214544836E-2</v>
      </c>
      <c r="N270" s="39">
        <f t="shared" si="154"/>
        <v>3.7282163161431854E-2</v>
      </c>
      <c r="O270" s="39">
        <f t="shared" si="154"/>
        <v>1.7946355840916826E-2</v>
      </c>
      <c r="P270" s="39">
        <f t="shared" si="154"/>
        <v>3.0987723379252399E-2</v>
      </c>
      <c r="Q270" s="39">
        <f t="shared" si="154"/>
        <v>3.7029741515102944E-2</v>
      </c>
      <c r="R270" s="39">
        <f t="shared" si="154"/>
        <v>3.5758437477640126E-2</v>
      </c>
      <c r="S270" s="39">
        <f t="shared" si="154"/>
        <v>6.0250950824178813E-2</v>
      </c>
      <c r="T270" s="39">
        <f t="shared" si="154"/>
        <v>0.15185068028672832</v>
      </c>
      <c r="U270" s="39">
        <f t="shared" si="154"/>
        <v>0.10461089964478053</v>
      </c>
      <c r="V270" s="39">
        <f t="shared" si="154"/>
        <v>0.1601261580175859</v>
      </c>
      <c r="W270" s="39">
        <f t="shared" si="154"/>
        <v>4.7172142359700131E-2</v>
      </c>
      <c r="X270" s="39">
        <f t="shared" si="154"/>
        <v>0.22332718091860326</v>
      </c>
    </row>
    <row r="271" spans="3:24" x14ac:dyDescent="0.25">
      <c r="C271" s="31" t="str">
        <f t="shared" si="135"/>
        <v>Other Admin Expenses</v>
      </c>
      <c r="E271" t="str">
        <f>'2025 Data'!E270</f>
        <v>% of Branch Revenue</v>
      </c>
      <c r="I271" s="39">
        <f t="shared" ref="I271:X271" si="155">-I85/I$56</f>
        <v>3.0343138901253026E-2</v>
      </c>
      <c r="J271" s="39">
        <f t="shared" si="155"/>
        <v>2.1651940516495608E-2</v>
      </c>
      <c r="K271" s="39">
        <f t="shared" si="155"/>
        <v>7.6017825467319708E-2</v>
      </c>
      <c r="L271" s="39">
        <f t="shared" si="155"/>
        <v>6.0728499554602321E-2</v>
      </c>
      <c r="M271" s="39">
        <f t="shared" si="155"/>
        <v>4.8137910120860494E-2</v>
      </c>
      <c r="N271" s="39">
        <f t="shared" si="155"/>
        <v>7.4229349521793275E-2</v>
      </c>
      <c r="O271" s="39">
        <f t="shared" si="155"/>
        <v>3.887290418310909E-2</v>
      </c>
      <c r="P271" s="39">
        <f t="shared" si="155"/>
        <v>5.7277424587186099E-2</v>
      </c>
      <c r="Q271" s="39">
        <f t="shared" si="155"/>
        <v>0.11910789277423957</v>
      </c>
      <c r="R271" s="39">
        <f t="shared" si="155"/>
        <v>0.14102210129577672</v>
      </c>
      <c r="S271" s="39">
        <f t="shared" si="155"/>
        <v>9.9522561562461254E-2</v>
      </c>
      <c r="T271" s="39">
        <f t="shared" si="155"/>
        <v>0.34720745111125811</v>
      </c>
      <c r="U271" s="39">
        <f t="shared" si="155"/>
        <v>0.16921089852115787</v>
      </c>
      <c r="V271" s="39">
        <f t="shared" si="155"/>
        <v>0.13832792094933047</v>
      </c>
      <c r="W271" s="39">
        <f t="shared" si="155"/>
        <v>6.9786333549777535E-2</v>
      </c>
      <c r="X271" s="39">
        <f t="shared" si="155"/>
        <v>0.37142021192723257</v>
      </c>
    </row>
    <row r="272" spans="3:24" s="18" customFormat="1" x14ac:dyDescent="0.25">
      <c r="C272" s="19" t="str">
        <f t="shared" si="135"/>
        <v>Total Admin expenses</v>
      </c>
      <c r="E272" s="18" t="str">
        <f>'2025 Data'!E271</f>
        <v>% of Branch Revenue</v>
      </c>
      <c r="I272" s="64">
        <f t="shared" ref="I272:X272" si="156">-I86/I$56</f>
        <v>4.2114651168252519E-2</v>
      </c>
      <c r="J272" s="64">
        <f t="shared" si="156"/>
        <v>3.0181185414619591E-2</v>
      </c>
      <c r="K272" s="64">
        <f t="shared" si="156"/>
        <v>0.12158186634258501</v>
      </c>
      <c r="L272" s="64">
        <f t="shared" si="156"/>
        <v>9.5293487977386848E-2</v>
      </c>
      <c r="M272" s="64">
        <f t="shared" si="156"/>
        <v>6.6527128335405333E-2</v>
      </c>
      <c r="N272" s="64">
        <f t="shared" si="156"/>
        <v>0.11151151268322512</v>
      </c>
      <c r="O272" s="64">
        <f t="shared" si="156"/>
        <v>5.6819260024025917E-2</v>
      </c>
      <c r="P272" s="64">
        <f t="shared" si="156"/>
        <v>8.8265147966438501E-2</v>
      </c>
      <c r="Q272" s="64">
        <f t="shared" si="156"/>
        <v>0.15613763428934252</v>
      </c>
      <c r="R272" s="64">
        <f t="shared" si="156"/>
        <v>0.17678053877341685</v>
      </c>
      <c r="S272" s="64">
        <f t="shared" si="156"/>
        <v>0.15977351238664006</v>
      </c>
      <c r="T272" s="64">
        <f t="shared" si="156"/>
        <v>0.49905813139798644</v>
      </c>
      <c r="U272" s="64">
        <f t="shared" si="156"/>
        <v>0.27382179816593838</v>
      </c>
      <c r="V272" s="64">
        <f t="shared" si="156"/>
        <v>0.29845407896691639</v>
      </c>
      <c r="W272" s="64">
        <f t="shared" si="156"/>
        <v>0.11695847590947767</v>
      </c>
      <c r="X272" s="64">
        <f t="shared" si="156"/>
        <v>0.59474739284583589</v>
      </c>
    </row>
    <row r="273" spans="2:59" x14ac:dyDescent="0.25">
      <c r="C273" s="31"/>
    </row>
    <row r="274" spans="2:59" s="18" customFormat="1" x14ac:dyDescent="0.25">
      <c r="C274" s="19" t="str">
        <f t="shared" si="135"/>
        <v>Total Expenses</v>
      </c>
      <c r="E274" s="18" t="str">
        <f>'2025 Data'!E273</f>
        <v>% of Branch Revenue</v>
      </c>
      <c r="I274" s="64">
        <f t="shared" ref="I274:X274" si="157">-I88/I$56</f>
        <v>0.40628039182727821</v>
      </c>
      <c r="J274" s="64">
        <f t="shared" si="157"/>
        <v>0.30328685378873366</v>
      </c>
      <c r="K274" s="64">
        <f t="shared" si="157"/>
        <v>0.5454920213746971</v>
      </c>
      <c r="L274" s="64">
        <f t="shared" si="157"/>
        <v>0.74323860545419829</v>
      </c>
      <c r="M274" s="64">
        <f t="shared" si="157"/>
        <v>0.77799465267091483</v>
      </c>
      <c r="N274" s="64">
        <f t="shared" si="157"/>
        <v>0.63581137726363635</v>
      </c>
      <c r="O274" s="64">
        <f t="shared" si="157"/>
        <v>0.4806192870678781</v>
      </c>
      <c r="P274" s="64">
        <f t="shared" si="157"/>
        <v>0.7303667799855188</v>
      </c>
      <c r="Q274" s="64">
        <f t="shared" si="157"/>
        <v>0.90117063302533496</v>
      </c>
      <c r="R274" s="64">
        <f t="shared" si="157"/>
        <v>1.1858654974310046</v>
      </c>
      <c r="S274" s="64">
        <f t="shared" si="157"/>
        <v>1.0324224612271327</v>
      </c>
      <c r="T274" s="64">
        <f t="shared" si="157"/>
        <v>1.519209570231099</v>
      </c>
      <c r="U274" s="64">
        <f t="shared" si="157"/>
        <v>1.1192710001210744</v>
      </c>
      <c r="V274" s="64">
        <f t="shared" si="157"/>
        <v>1.2108628425751364</v>
      </c>
      <c r="W274" s="64">
        <f t="shared" si="157"/>
        <v>0.53513600433955721</v>
      </c>
      <c r="X274" s="64">
        <f t="shared" si="157"/>
        <v>1.8094281150108973</v>
      </c>
    </row>
    <row r="275" spans="2:59" x14ac:dyDescent="0.25">
      <c r="C275" s="31"/>
    </row>
    <row r="276" spans="2:59" x14ac:dyDescent="0.25">
      <c r="B276" s="42"/>
      <c r="C276" s="43" t="str">
        <f>'2025 Data'!C275</f>
        <v>Expenses Per Branch -  Consolidated - Vertical Analysis</v>
      </c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</row>
    <row r="277" spans="2:59" x14ac:dyDescent="0.25">
      <c r="C277" s="31"/>
    </row>
    <row r="278" spans="2:59" x14ac:dyDescent="0.25">
      <c r="C278" s="31" t="str">
        <f>C247</f>
        <v>Total interest expense on deposits</v>
      </c>
      <c r="E278" t="str">
        <f>'2025 Data'!E277</f>
        <v>% of Branch Revenue</v>
      </c>
      <c r="I278" s="39">
        <f>I247</f>
        <v>0.17901340181474787</v>
      </c>
      <c r="J278" s="39">
        <f t="shared" ref="J278:X278" si="158">J247</f>
        <v>8.4592369257886782E-2</v>
      </c>
      <c r="K278" s="39">
        <f t="shared" si="158"/>
        <v>0.11311354506037526</v>
      </c>
      <c r="L278" s="39">
        <f t="shared" si="158"/>
        <v>0.18705470483275033</v>
      </c>
      <c r="M278" s="39">
        <f t="shared" si="158"/>
        <v>0.23224780624996139</v>
      </c>
      <c r="N278" s="39">
        <f t="shared" si="158"/>
        <v>0.14998446004718494</v>
      </c>
      <c r="O278" s="39">
        <f t="shared" si="158"/>
        <v>0.15518260683464774</v>
      </c>
      <c r="P278" s="39">
        <f t="shared" si="158"/>
        <v>0.23544482603339179</v>
      </c>
      <c r="Q278" s="39">
        <f t="shared" si="158"/>
        <v>0.20808280488504027</v>
      </c>
      <c r="R278" s="39">
        <f t="shared" si="158"/>
        <v>0.17973446421018374</v>
      </c>
      <c r="S278" s="39">
        <f t="shared" si="158"/>
        <v>3.4787171439671055E-2</v>
      </c>
      <c r="T278" s="39">
        <f t="shared" si="158"/>
        <v>0.27688512564284717</v>
      </c>
      <c r="U278" s="39">
        <f t="shared" si="158"/>
        <v>8.9414798582900107E-2</v>
      </c>
      <c r="V278" s="39">
        <f t="shared" si="158"/>
        <v>0.15854160610861348</v>
      </c>
      <c r="W278" s="39">
        <f t="shared" si="158"/>
        <v>9.6923045139210975E-2</v>
      </c>
      <c r="X278" s="39">
        <f t="shared" si="158"/>
        <v>0.14752428726485467</v>
      </c>
    </row>
    <row r="279" spans="2:59" x14ac:dyDescent="0.25">
      <c r="C279" s="31" t="str">
        <f>C253</f>
        <v xml:space="preserve">Total fees and commission expenses </v>
      </c>
      <c r="E279" t="str">
        <f>'2025 Data'!E278</f>
        <v>% of Branch Revenue</v>
      </c>
      <c r="I279" s="39">
        <f>I253</f>
        <v>7.2418967618308348E-3</v>
      </c>
      <c r="J279" s="39">
        <f t="shared" ref="J279:X279" si="159">J253</f>
        <v>4.4812529360990028E-3</v>
      </c>
      <c r="K279" s="39">
        <f t="shared" si="159"/>
        <v>1.6791504827713293E-2</v>
      </c>
      <c r="L279" s="39">
        <f t="shared" si="159"/>
        <v>1.3166822422424455E-2</v>
      </c>
      <c r="M279" s="39">
        <f t="shared" si="159"/>
        <v>7.9938279407438945E-3</v>
      </c>
      <c r="N279" s="39">
        <f t="shared" si="159"/>
        <v>1.3745612990593284E-2</v>
      </c>
      <c r="O279" s="39">
        <f t="shared" si="159"/>
        <v>1.2982855651152597E-2</v>
      </c>
      <c r="P279" s="39">
        <f t="shared" si="159"/>
        <v>2.7834762467226302E-2</v>
      </c>
      <c r="Q279" s="39">
        <f t="shared" si="159"/>
        <v>1.4337552329395186E-2</v>
      </c>
      <c r="R279" s="39">
        <f t="shared" si="159"/>
        <v>3.1723567125074639E-2</v>
      </c>
      <c r="S279" s="39">
        <f t="shared" si="159"/>
        <v>1.1970695682907539E-2</v>
      </c>
      <c r="T279" s="39">
        <f t="shared" si="159"/>
        <v>2.2159193807224808E-2</v>
      </c>
      <c r="U279" s="39">
        <f t="shared" si="159"/>
        <v>3.2569261770944956E-2</v>
      </c>
      <c r="V279" s="39">
        <f t="shared" si="159"/>
        <v>1.9703282518663483E-2</v>
      </c>
      <c r="W279" s="39">
        <f t="shared" si="159"/>
        <v>1.3230093058450765E-2</v>
      </c>
      <c r="X279" s="39">
        <f t="shared" si="159"/>
        <v>4.5282137332279308E-2</v>
      </c>
    </row>
    <row r="280" spans="2:59" x14ac:dyDescent="0.25">
      <c r="C280" s="31" t="str">
        <f>C255</f>
        <v>Other Expenses</v>
      </c>
      <c r="E280" t="str">
        <f>'2025 Data'!E279</f>
        <v>% of Branch Revenue</v>
      </c>
      <c r="I280" s="39">
        <f>I255</f>
        <v>0</v>
      </c>
      <c r="J280" s="39">
        <f t="shared" ref="J280:X280" si="160">J255</f>
        <v>0</v>
      </c>
      <c r="K280" s="39">
        <f t="shared" si="160"/>
        <v>0</v>
      </c>
      <c r="L280" s="39">
        <f t="shared" si="160"/>
        <v>0</v>
      </c>
      <c r="M280" s="39">
        <f t="shared" si="160"/>
        <v>0</v>
      </c>
      <c r="N280" s="39">
        <f t="shared" si="160"/>
        <v>0</v>
      </c>
      <c r="O280" s="39">
        <f t="shared" si="160"/>
        <v>0</v>
      </c>
      <c r="P280" s="39">
        <f t="shared" si="160"/>
        <v>0</v>
      </c>
      <c r="Q280" s="39">
        <f t="shared" si="160"/>
        <v>0</v>
      </c>
      <c r="R280" s="39">
        <f t="shared" si="160"/>
        <v>0</v>
      </c>
      <c r="S280" s="39">
        <f t="shared" si="160"/>
        <v>0</v>
      </c>
      <c r="T280" s="39">
        <f t="shared" si="160"/>
        <v>0</v>
      </c>
      <c r="U280" s="39">
        <f t="shared" si="160"/>
        <v>0</v>
      </c>
      <c r="V280" s="39">
        <f t="shared" si="160"/>
        <v>0</v>
      </c>
      <c r="W280" s="39">
        <f t="shared" si="160"/>
        <v>0</v>
      </c>
      <c r="X280" s="39">
        <f t="shared" si="160"/>
        <v>0</v>
      </c>
    </row>
    <row r="281" spans="2:59" x14ac:dyDescent="0.25">
      <c r="C281" s="31" t="str">
        <f>C257</f>
        <v>Total Provision for Loan Losses</v>
      </c>
      <c r="E281" t="str">
        <f>'2025 Data'!E280</f>
        <v>% of Branch Revenue</v>
      </c>
      <c r="I281" s="39">
        <f>I257</f>
        <v>6.1572815060823932E-2</v>
      </c>
      <c r="J281" s="39">
        <f t="shared" ref="J281:X281" si="161">J257</f>
        <v>5.6648823741601212E-2</v>
      </c>
      <c r="K281" s="39">
        <f t="shared" si="161"/>
        <v>-4.0790845795654333E-2</v>
      </c>
      <c r="L281" s="39">
        <f t="shared" si="161"/>
        <v>4.4901846535602717E-2</v>
      </c>
      <c r="M281" s="39">
        <f t="shared" si="161"/>
        <v>0.1584746975550351</v>
      </c>
      <c r="N281" s="39">
        <f t="shared" si="161"/>
        <v>4.5172301749556505E-2</v>
      </c>
      <c r="O281" s="39">
        <f t="shared" si="161"/>
        <v>4.6515619702687465E-2</v>
      </c>
      <c r="P281" s="39">
        <f t="shared" si="161"/>
        <v>9.8265068422021429E-2</v>
      </c>
      <c r="Q281" s="39">
        <f t="shared" si="161"/>
        <v>0.28002959342028033</v>
      </c>
      <c r="R281" s="39">
        <f t="shared" si="161"/>
        <v>0.55111152708366795</v>
      </c>
      <c r="S281" s="39">
        <f t="shared" si="161"/>
        <v>0.53677518325594475</v>
      </c>
      <c r="T281" s="39">
        <f t="shared" si="161"/>
        <v>0.11218711229355122</v>
      </c>
      <c r="U281" s="39">
        <f t="shared" si="161"/>
        <v>0.29211665515767643</v>
      </c>
      <c r="V281" s="39">
        <f t="shared" si="161"/>
        <v>0.12498475703247297</v>
      </c>
      <c r="W281" s="39">
        <f t="shared" si="161"/>
        <v>7.7189884819978544E-2</v>
      </c>
      <c r="X281" s="39">
        <f t="shared" si="161"/>
        <v>3.4153935853263054E-2</v>
      </c>
    </row>
    <row r="282" spans="2:59" x14ac:dyDescent="0.25">
      <c r="C282" s="31" t="str">
        <f>C262</f>
        <v xml:space="preserve">Total personnel expenses </v>
      </c>
      <c r="E282" t="str">
        <f>'2025 Data'!E281</f>
        <v>% of Branch Revenue</v>
      </c>
      <c r="I282" s="39">
        <f>I262</f>
        <v>8.0250622301448873E-2</v>
      </c>
      <c r="J282" s="39">
        <f>J262</f>
        <v>7.0906054685286116E-2</v>
      </c>
      <c r="K282" s="39">
        <f t="shared" ref="K282:X282" si="162">K262</f>
        <v>0.25507551740373596</v>
      </c>
      <c r="L282" s="39">
        <f t="shared" si="162"/>
        <v>0.27724511868744955</v>
      </c>
      <c r="M282" s="39">
        <f t="shared" si="162"/>
        <v>0.18189485508986811</v>
      </c>
      <c r="N282" s="39">
        <f t="shared" si="162"/>
        <v>0.22888949882643084</v>
      </c>
      <c r="O282" s="39">
        <f t="shared" si="162"/>
        <v>0.14914697753923156</v>
      </c>
      <c r="P282" s="39">
        <f t="shared" si="162"/>
        <v>0.20969979207699954</v>
      </c>
      <c r="Q282" s="39">
        <f t="shared" si="162"/>
        <v>0.18854778142769796</v>
      </c>
      <c r="R282" s="39">
        <f t="shared" si="162"/>
        <v>0.22988807743150219</v>
      </c>
      <c r="S282" s="39">
        <f t="shared" si="162"/>
        <v>0.25334319594624927</v>
      </c>
      <c r="T282" s="39">
        <f t="shared" si="162"/>
        <v>0.58699329830765001</v>
      </c>
      <c r="U282" s="39">
        <f t="shared" si="162"/>
        <v>0.4189140545085645</v>
      </c>
      <c r="V282" s="39">
        <f t="shared" si="162"/>
        <v>0.57590987589690334</v>
      </c>
      <c r="W282" s="39">
        <f t="shared" si="162"/>
        <v>0.22397378137126428</v>
      </c>
      <c r="X282" s="39">
        <f t="shared" si="162"/>
        <v>0.95126425854338392</v>
      </c>
    </row>
    <row r="283" spans="2:59" x14ac:dyDescent="0.25">
      <c r="C283" s="31" t="str">
        <f>C264</f>
        <v>Total governance Expenses</v>
      </c>
      <c r="E283" t="str">
        <f>'2025 Data'!E282</f>
        <v>% of Branch Revenue</v>
      </c>
      <c r="I283" s="39">
        <f>I264</f>
        <v>3.3977219584139143E-2</v>
      </c>
      <c r="J283" s="39">
        <f t="shared" ref="J283:X283" si="163">J264</f>
        <v>5.4855525222502685E-2</v>
      </c>
      <c r="K283" s="39">
        <f t="shared" si="163"/>
        <v>7.3926983998590684E-2</v>
      </c>
      <c r="L283" s="39">
        <f t="shared" si="163"/>
        <v>0.12139617430533778</v>
      </c>
      <c r="M283" s="39">
        <f t="shared" si="163"/>
        <v>0.12852673060018413</v>
      </c>
      <c r="N283" s="39">
        <f t="shared" si="163"/>
        <v>8.0120565815736525E-2</v>
      </c>
      <c r="O283" s="39">
        <f t="shared" si="163"/>
        <v>5.7378764419305131E-2</v>
      </c>
      <c r="P283" s="39">
        <f t="shared" si="163"/>
        <v>6.710022727145909E-2</v>
      </c>
      <c r="Q283" s="39">
        <f t="shared" si="163"/>
        <v>4.6571402974211251E-2</v>
      </c>
      <c r="R283" s="39">
        <f t="shared" si="163"/>
        <v>1.0815635449062012E-2</v>
      </c>
      <c r="S283" s="39">
        <f t="shared" si="163"/>
        <v>2.1653465174120947E-2</v>
      </c>
      <c r="T283" s="39">
        <f t="shared" si="163"/>
        <v>3.283959643999457E-3</v>
      </c>
      <c r="U283" s="39">
        <f t="shared" si="163"/>
        <v>0</v>
      </c>
      <c r="V283" s="39">
        <f t="shared" si="163"/>
        <v>1.6382030591599152E-3</v>
      </c>
      <c r="W283" s="39">
        <f t="shared" si="163"/>
        <v>0</v>
      </c>
      <c r="X283" s="39">
        <f t="shared" si="163"/>
        <v>0</v>
      </c>
    </row>
    <row r="284" spans="2:59" x14ac:dyDescent="0.25">
      <c r="C284" s="31" t="str">
        <f>C266</f>
        <v>Total Marketing Expenses</v>
      </c>
      <c r="E284" t="str">
        <f>'2025 Data'!E283</f>
        <v>% of Branch Revenue</v>
      </c>
      <c r="I284" s="39">
        <f>I266</f>
        <v>1.0930537283219829E-3</v>
      </c>
      <c r="J284" s="39">
        <f t="shared" ref="J284:X284" si="164">J266</f>
        <v>9.3914884115168205E-4</v>
      </c>
      <c r="K284" s="39">
        <f t="shared" si="164"/>
        <v>2.7455309061497225E-3</v>
      </c>
      <c r="L284" s="39">
        <f t="shared" si="164"/>
        <v>2.1771960292630769E-3</v>
      </c>
      <c r="M284" s="39">
        <f t="shared" si="164"/>
        <v>1.912305182606668E-4</v>
      </c>
      <c r="N284" s="39">
        <f t="shared" si="164"/>
        <v>2.1081863260524283E-3</v>
      </c>
      <c r="O284" s="39">
        <f t="shared" si="164"/>
        <v>1.7216776072331199E-3</v>
      </c>
      <c r="P284" s="39">
        <f t="shared" si="164"/>
        <v>6.1396756884225844E-4</v>
      </c>
      <c r="Q284" s="39">
        <f t="shared" si="164"/>
        <v>3.3346570333823941E-3</v>
      </c>
      <c r="R284" s="39">
        <f t="shared" si="164"/>
        <v>1.1845700500101675E-3</v>
      </c>
      <c r="S284" s="39">
        <f t="shared" si="164"/>
        <v>6.5013936411172047E-3</v>
      </c>
      <c r="T284" s="39">
        <f t="shared" si="164"/>
        <v>1.0514079735506027E-2</v>
      </c>
      <c r="U284" s="39">
        <f t="shared" si="164"/>
        <v>7.3472709769972456E-3</v>
      </c>
      <c r="V284" s="39">
        <f t="shared" si="164"/>
        <v>1.0250646091928379E-2</v>
      </c>
      <c r="W284" s="39">
        <f t="shared" si="164"/>
        <v>9.1231467063203754E-5</v>
      </c>
      <c r="X284" s="39">
        <f t="shared" si="164"/>
        <v>1.8266191495188634E-2</v>
      </c>
    </row>
    <row r="285" spans="2:59" x14ac:dyDescent="0.25">
      <c r="C285" s="31" t="str">
        <f>C268</f>
        <v>Total Depreciation and amortization</v>
      </c>
      <c r="E285" t="str">
        <f>'2025 Data'!E284</f>
        <v>% of Branch Revenue</v>
      </c>
      <c r="I285" s="39">
        <f>I268</f>
        <v>1.0167314077130351E-3</v>
      </c>
      <c r="J285" s="39">
        <f t="shared" ref="J285:X285" si="165">J268</f>
        <v>6.8249368958655653E-4</v>
      </c>
      <c r="K285" s="39">
        <f t="shared" si="165"/>
        <v>3.0479186312015057E-3</v>
      </c>
      <c r="L285" s="39">
        <f t="shared" si="165"/>
        <v>2.0032546639834762E-3</v>
      </c>
      <c r="M285" s="39">
        <f t="shared" si="165"/>
        <v>2.1383763814562E-3</v>
      </c>
      <c r="N285" s="39">
        <f t="shared" si="165"/>
        <v>4.279238824856659E-3</v>
      </c>
      <c r="O285" s="39">
        <f t="shared" si="165"/>
        <v>8.7152528959458394E-4</v>
      </c>
      <c r="P285" s="39">
        <f t="shared" si="165"/>
        <v>3.1429881791399297E-3</v>
      </c>
      <c r="Q285" s="39">
        <f t="shared" si="165"/>
        <v>4.1292066659850751E-3</v>
      </c>
      <c r="R285" s="39">
        <f t="shared" si="165"/>
        <v>4.6271173080870221E-3</v>
      </c>
      <c r="S285" s="39">
        <f t="shared" si="165"/>
        <v>7.6178437004818713E-3</v>
      </c>
      <c r="T285" s="39">
        <f t="shared" si="165"/>
        <v>8.1286694023338327E-3</v>
      </c>
      <c r="U285" s="39">
        <f t="shared" si="165"/>
        <v>5.087160958052804E-3</v>
      </c>
      <c r="V285" s="39">
        <f t="shared" si="165"/>
        <v>2.1380392900478447E-2</v>
      </c>
      <c r="W285" s="39">
        <f t="shared" si="165"/>
        <v>6.7694925741117349E-3</v>
      </c>
      <c r="X285" s="39">
        <f t="shared" si="165"/>
        <v>1.8189911676091873E-2</v>
      </c>
    </row>
    <row r="286" spans="2:59" x14ac:dyDescent="0.25">
      <c r="C286" s="31" t="str">
        <f>C272</f>
        <v>Total Admin expenses</v>
      </c>
      <c r="E286" t="str">
        <f>'2025 Data'!E285</f>
        <v>% of Branch Revenue</v>
      </c>
      <c r="I286" s="39">
        <f>I272</f>
        <v>4.2114651168252519E-2</v>
      </c>
      <c r="J286" s="39">
        <f t="shared" ref="J286:X286" si="166">J272</f>
        <v>3.0181185414619591E-2</v>
      </c>
      <c r="K286" s="39">
        <f t="shared" si="166"/>
        <v>0.12158186634258501</v>
      </c>
      <c r="L286" s="39">
        <f t="shared" si="166"/>
        <v>9.5293487977386848E-2</v>
      </c>
      <c r="M286" s="39">
        <f t="shared" si="166"/>
        <v>6.6527128335405333E-2</v>
      </c>
      <c r="N286" s="39">
        <f t="shared" si="166"/>
        <v>0.11151151268322512</v>
      </c>
      <c r="O286" s="39">
        <f t="shared" si="166"/>
        <v>5.6819260024025917E-2</v>
      </c>
      <c r="P286" s="39">
        <f t="shared" si="166"/>
        <v>8.8265147966438501E-2</v>
      </c>
      <c r="Q286" s="39">
        <f t="shared" si="166"/>
        <v>0.15613763428934252</v>
      </c>
      <c r="R286" s="39">
        <f t="shared" si="166"/>
        <v>0.17678053877341685</v>
      </c>
      <c r="S286" s="39">
        <f t="shared" si="166"/>
        <v>0.15977351238664006</v>
      </c>
      <c r="T286" s="39">
        <f t="shared" si="166"/>
        <v>0.49905813139798644</v>
      </c>
      <c r="U286" s="39">
        <f t="shared" si="166"/>
        <v>0.27382179816593838</v>
      </c>
      <c r="V286" s="39">
        <f t="shared" si="166"/>
        <v>0.29845407896691639</v>
      </c>
      <c r="W286" s="39">
        <f t="shared" si="166"/>
        <v>0.11695847590947767</v>
      </c>
      <c r="X286" s="39">
        <f t="shared" si="166"/>
        <v>0.59474739284583589</v>
      </c>
    </row>
    <row r="287" spans="2:59" x14ac:dyDescent="0.25">
      <c r="C287" s="31"/>
    </row>
    <row r="288" spans="2:59" x14ac:dyDescent="0.25">
      <c r="B288" s="42"/>
      <c r="C288" s="43" t="str">
        <f>'2025 Data'!C287</f>
        <v>Expenses Per Branch - Horizontal Analysis</v>
      </c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</row>
    <row r="290" spans="3:24" x14ac:dyDescent="0.25">
      <c r="C290" s="31" t="str">
        <f>C244</f>
        <v>Interest on savings</v>
      </c>
      <c r="E290" t="str">
        <f>'2025 Data'!E289</f>
        <v>% of Branch Revenue</v>
      </c>
      <c r="G290" s="31">
        <f t="shared" ref="G290:X301" si="167">G244</f>
        <v>0</v>
      </c>
      <c r="H290" s="31">
        <f t="shared" si="167"/>
        <v>0</v>
      </c>
      <c r="I290" s="39">
        <f>I244</f>
        <v>0.17440186639535304</v>
      </c>
      <c r="J290" s="39">
        <f t="shared" si="167"/>
        <v>8.206267525376304E-2</v>
      </c>
      <c r="K290" s="39">
        <f t="shared" si="167"/>
        <v>0.10568635421173335</v>
      </c>
      <c r="L290" s="39">
        <f t="shared" si="167"/>
        <v>0.17925796082453049</v>
      </c>
      <c r="M290" s="39">
        <f t="shared" si="167"/>
        <v>0.16045796326441089</v>
      </c>
      <c r="N290" s="39">
        <f t="shared" si="167"/>
        <v>0.11972564919666516</v>
      </c>
      <c r="O290" s="39">
        <f t="shared" si="167"/>
        <v>0.14388925705834743</v>
      </c>
      <c r="P290" s="39">
        <f t="shared" si="167"/>
        <v>0.22690674200670619</v>
      </c>
      <c r="Q290" s="39">
        <f t="shared" si="167"/>
        <v>0.20758079866266813</v>
      </c>
      <c r="R290" s="39">
        <f t="shared" si="167"/>
        <v>0.17973446421018374</v>
      </c>
      <c r="S290" s="39">
        <f t="shared" si="167"/>
        <v>3.4787171439671055E-2</v>
      </c>
      <c r="T290" s="39">
        <f t="shared" si="167"/>
        <v>0.26819229129108391</v>
      </c>
      <c r="U290" s="39">
        <f t="shared" si="167"/>
        <v>8.7317532430152403E-2</v>
      </c>
      <c r="V290" s="39">
        <f t="shared" si="167"/>
        <v>0.15854160610861348</v>
      </c>
      <c r="W290" s="39">
        <f t="shared" si="167"/>
        <v>9.6923045139210975E-2</v>
      </c>
      <c r="X290" s="39">
        <f t="shared" si="167"/>
        <v>0.14752322782292276</v>
      </c>
    </row>
    <row r="291" spans="3:24" x14ac:dyDescent="0.25">
      <c r="C291" s="31" t="str">
        <f t="shared" ref="C291:R333" si="168">C245</f>
        <v xml:space="preserve">Interest on fixed deposits </v>
      </c>
      <c r="E291" t="str">
        <f>'2025 Data'!E290</f>
        <v>% of Branch Revenue</v>
      </c>
      <c r="G291" s="31">
        <f t="shared" si="168"/>
        <v>0</v>
      </c>
      <c r="H291" s="31">
        <f t="shared" si="168"/>
        <v>0</v>
      </c>
      <c r="I291" s="39">
        <f t="shared" si="168"/>
        <v>4.6115354193948252E-3</v>
      </c>
      <c r="J291" s="39">
        <f t="shared" si="168"/>
        <v>2.5296940041237442E-3</v>
      </c>
      <c r="K291" s="39">
        <f t="shared" si="168"/>
        <v>7.4271908486419026E-3</v>
      </c>
      <c r="L291" s="39">
        <f t="shared" si="168"/>
        <v>7.7967440082198428E-3</v>
      </c>
      <c r="M291" s="39">
        <f t="shared" si="168"/>
        <v>7.1789842985550509E-2</v>
      </c>
      <c r="N291" s="39">
        <f t="shared" si="168"/>
        <v>3.025881085051978E-2</v>
      </c>
      <c r="O291" s="39">
        <f t="shared" si="168"/>
        <v>1.129334977630031E-2</v>
      </c>
      <c r="P291" s="39">
        <f t="shared" si="168"/>
        <v>8.5380840266856082E-3</v>
      </c>
      <c r="Q291" s="39">
        <f t="shared" si="168"/>
        <v>5.0200622237217335E-4</v>
      </c>
      <c r="R291" s="39">
        <f t="shared" si="168"/>
        <v>0</v>
      </c>
      <c r="S291" s="39">
        <f t="shared" si="167"/>
        <v>0</v>
      </c>
      <c r="T291" s="39">
        <f t="shared" si="167"/>
        <v>8.6928343517632695E-3</v>
      </c>
      <c r="U291" s="39">
        <f t="shared" si="167"/>
        <v>2.0972661527477094E-3</v>
      </c>
      <c r="V291" s="39">
        <f t="shared" si="167"/>
        <v>0</v>
      </c>
      <c r="W291" s="39">
        <f t="shared" si="167"/>
        <v>0</v>
      </c>
      <c r="X291" s="39">
        <f t="shared" si="167"/>
        <v>1.0594419318994257E-6</v>
      </c>
    </row>
    <row r="292" spans="3:24" x14ac:dyDescent="0.25">
      <c r="C292" s="31" t="str">
        <f t="shared" si="168"/>
        <v>Interest on Diaspora jijenge savings</v>
      </c>
      <c r="E292" t="str">
        <f>'2025 Data'!E291</f>
        <v>% of Branch Revenue</v>
      </c>
      <c r="G292" s="31">
        <f t="shared" si="167"/>
        <v>0</v>
      </c>
      <c r="H292" s="31">
        <f t="shared" si="167"/>
        <v>0</v>
      </c>
      <c r="I292" s="31">
        <f t="shared" si="167"/>
        <v>0</v>
      </c>
      <c r="J292" s="31">
        <f t="shared" si="167"/>
        <v>0</v>
      </c>
      <c r="K292" s="31">
        <f t="shared" si="167"/>
        <v>0</v>
      </c>
      <c r="L292" s="31">
        <f t="shared" si="167"/>
        <v>0</v>
      </c>
      <c r="M292" s="31">
        <f t="shared" si="167"/>
        <v>0</v>
      </c>
      <c r="N292" s="31">
        <f t="shared" si="167"/>
        <v>0</v>
      </c>
      <c r="O292" s="31">
        <f t="shared" si="167"/>
        <v>0</v>
      </c>
      <c r="P292" s="31">
        <f t="shared" si="167"/>
        <v>0</v>
      </c>
      <c r="Q292" s="31">
        <f t="shared" si="167"/>
        <v>0</v>
      </c>
      <c r="R292" s="31">
        <f t="shared" si="167"/>
        <v>0</v>
      </c>
      <c r="S292" s="31">
        <f t="shared" si="167"/>
        <v>0</v>
      </c>
      <c r="T292" s="31">
        <f t="shared" si="167"/>
        <v>0</v>
      </c>
      <c r="U292" s="31">
        <f t="shared" si="167"/>
        <v>0</v>
      </c>
      <c r="V292" s="31">
        <f t="shared" si="167"/>
        <v>0</v>
      </c>
      <c r="W292" s="31">
        <f t="shared" si="167"/>
        <v>0</v>
      </c>
      <c r="X292" s="31">
        <f t="shared" si="167"/>
        <v>0</v>
      </c>
    </row>
    <row r="293" spans="3:24" x14ac:dyDescent="0.25">
      <c r="C293" s="31" t="str">
        <f t="shared" si="168"/>
        <v>Total interest expense on deposits</v>
      </c>
      <c r="E293" t="str">
        <f>'2025 Data'!E292</f>
        <v>% of Branch Revenue</v>
      </c>
      <c r="G293" s="31">
        <f t="shared" si="167"/>
        <v>0</v>
      </c>
      <c r="H293" s="31">
        <f t="shared" si="167"/>
        <v>0</v>
      </c>
      <c r="I293" s="39">
        <f t="shared" si="167"/>
        <v>0.17901340181474787</v>
      </c>
      <c r="J293" s="39">
        <f t="shared" si="167"/>
        <v>8.4592369257886782E-2</v>
      </c>
      <c r="K293" s="39">
        <f t="shared" si="167"/>
        <v>0.11311354506037526</v>
      </c>
      <c r="L293" s="39">
        <f t="shared" si="167"/>
        <v>0.18705470483275033</v>
      </c>
      <c r="M293" s="39">
        <f t="shared" si="167"/>
        <v>0.23224780624996139</v>
      </c>
      <c r="N293" s="39">
        <f t="shared" si="167"/>
        <v>0.14998446004718494</v>
      </c>
      <c r="O293" s="39">
        <f t="shared" si="167"/>
        <v>0.15518260683464774</v>
      </c>
      <c r="P293" s="39">
        <f t="shared" si="167"/>
        <v>0.23544482603339179</v>
      </c>
      <c r="Q293" s="39">
        <f t="shared" si="167"/>
        <v>0.20808280488504027</v>
      </c>
      <c r="R293" s="39">
        <f t="shared" si="167"/>
        <v>0.17973446421018374</v>
      </c>
      <c r="S293" s="39">
        <f t="shared" si="167"/>
        <v>3.4787171439671055E-2</v>
      </c>
      <c r="T293" s="39">
        <f t="shared" si="167"/>
        <v>0.27688512564284717</v>
      </c>
      <c r="U293" s="39">
        <f t="shared" si="167"/>
        <v>8.9414798582900107E-2</v>
      </c>
      <c r="V293" s="39">
        <f t="shared" si="167"/>
        <v>0.15854160610861348</v>
      </c>
      <c r="W293" s="39">
        <f t="shared" si="167"/>
        <v>9.6923045139210975E-2</v>
      </c>
      <c r="X293" s="39">
        <f t="shared" si="167"/>
        <v>0.14752428726485467</v>
      </c>
    </row>
    <row r="294" spans="3:24" x14ac:dyDescent="0.25">
      <c r="C294" s="31">
        <f t="shared" si="168"/>
        <v>0</v>
      </c>
    </row>
    <row r="295" spans="3:24" x14ac:dyDescent="0.25">
      <c r="C295" s="31" t="str">
        <f t="shared" si="168"/>
        <v>Mobile deposit charges paybill</v>
      </c>
      <c r="E295" t="str">
        <f>'2025 Data'!E294</f>
        <v>% of Branch Revenue</v>
      </c>
      <c r="G295" s="31">
        <f t="shared" si="167"/>
        <v>0</v>
      </c>
      <c r="H295" s="31">
        <f t="shared" si="167"/>
        <v>0</v>
      </c>
      <c r="I295" s="39">
        <f t="shared" si="167"/>
        <v>6.301013415601661E-3</v>
      </c>
      <c r="J295" s="39">
        <f t="shared" si="167"/>
        <v>2.6696460500934701E-3</v>
      </c>
      <c r="K295" s="39">
        <f t="shared" si="167"/>
        <v>3.1735930520985353E-3</v>
      </c>
      <c r="L295" s="39">
        <f t="shared" si="167"/>
        <v>1.157286108552065E-2</v>
      </c>
      <c r="M295" s="39">
        <f t="shared" si="167"/>
        <v>7.4740413715126295E-3</v>
      </c>
      <c r="N295" s="39">
        <f t="shared" si="167"/>
        <v>1.3456287323636672E-2</v>
      </c>
      <c r="O295" s="39">
        <f t="shared" si="167"/>
        <v>1.2160884219650952E-2</v>
      </c>
      <c r="P295" s="39">
        <f t="shared" si="167"/>
        <v>2.7154360893766497E-2</v>
      </c>
      <c r="Q295" s="39">
        <f t="shared" si="167"/>
        <v>1.4108848932424615E-2</v>
      </c>
      <c r="R295" s="39">
        <f t="shared" si="167"/>
        <v>3.0813439981945929E-2</v>
      </c>
      <c r="S295" s="39">
        <f t="shared" si="167"/>
        <v>1.1643583872637735E-2</v>
      </c>
      <c r="T295" s="39">
        <f t="shared" si="167"/>
        <v>2.1455074224731984E-2</v>
      </c>
      <c r="U295" s="39">
        <f t="shared" si="167"/>
        <v>3.0103642792860243E-2</v>
      </c>
      <c r="V295" s="39">
        <f t="shared" si="167"/>
        <v>1.9524615997523857E-2</v>
      </c>
      <c r="W295" s="39">
        <f t="shared" si="167"/>
        <v>1.3219792731524274E-2</v>
      </c>
      <c r="X295" s="39">
        <f t="shared" si="167"/>
        <v>4.5414920721077369E-2</v>
      </c>
    </row>
    <row r="296" spans="3:24" x14ac:dyDescent="0.25">
      <c r="C296" s="31" t="str">
        <f t="shared" si="168"/>
        <v>loss impairement of financial assets</v>
      </c>
      <c r="E296" t="str">
        <f>'2025 Data'!E295</f>
        <v>% of Branch Revenue</v>
      </c>
      <c r="G296" s="31">
        <f t="shared" si="167"/>
        <v>0</v>
      </c>
      <c r="H296" s="31">
        <f t="shared" si="167"/>
        <v>0</v>
      </c>
      <c r="I296" s="39">
        <f t="shared" si="167"/>
        <v>0</v>
      </c>
      <c r="J296" s="39">
        <f t="shared" si="167"/>
        <v>1.1374061365126661E-3</v>
      </c>
      <c r="K296" s="39">
        <f t="shared" si="167"/>
        <v>1.2852197724895344E-2</v>
      </c>
      <c r="L296" s="39">
        <f t="shared" si="167"/>
        <v>0</v>
      </c>
      <c r="M296" s="39">
        <f t="shared" si="167"/>
        <v>0</v>
      </c>
      <c r="N296" s="39">
        <f t="shared" si="167"/>
        <v>0</v>
      </c>
      <c r="O296" s="39">
        <f t="shared" si="167"/>
        <v>0</v>
      </c>
      <c r="P296" s="39">
        <f t="shared" si="167"/>
        <v>0</v>
      </c>
      <c r="Q296" s="39">
        <f t="shared" si="167"/>
        <v>0</v>
      </c>
      <c r="R296" s="39">
        <f t="shared" si="167"/>
        <v>0</v>
      </c>
      <c r="S296" s="39">
        <f t="shared" si="167"/>
        <v>0</v>
      </c>
      <c r="T296" s="39">
        <f t="shared" si="167"/>
        <v>0</v>
      </c>
      <c r="U296" s="39">
        <f t="shared" si="167"/>
        <v>0</v>
      </c>
      <c r="V296" s="39">
        <f t="shared" si="167"/>
        <v>0</v>
      </c>
      <c r="W296" s="39">
        <f t="shared" si="167"/>
        <v>0</v>
      </c>
      <c r="X296" s="39">
        <f t="shared" si="167"/>
        <v>0</v>
      </c>
    </row>
    <row r="297" spans="3:24" x14ac:dyDescent="0.25">
      <c r="C297" s="31" t="str">
        <f t="shared" si="168"/>
        <v>Appraisal fee</v>
      </c>
      <c r="E297" t="str">
        <f>'2025 Data'!E296</f>
        <v>% of Branch Revenue</v>
      </c>
      <c r="G297" s="31">
        <f t="shared" si="167"/>
        <v>0</v>
      </c>
      <c r="H297" s="31">
        <f t="shared" si="167"/>
        <v>0</v>
      </c>
      <c r="I297" s="39">
        <f t="shared" si="167"/>
        <v>0</v>
      </c>
      <c r="J297" s="39">
        <f t="shared" si="167"/>
        <v>0</v>
      </c>
      <c r="K297" s="39">
        <f t="shared" si="167"/>
        <v>0</v>
      </c>
      <c r="L297" s="39">
        <f t="shared" si="167"/>
        <v>0</v>
      </c>
      <c r="M297" s="39">
        <f t="shared" si="167"/>
        <v>0</v>
      </c>
      <c r="N297" s="39">
        <f t="shared" si="167"/>
        <v>0</v>
      </c>
      <c r="O297" s="39">
        <f t="shared" si="167"/>
        <v>0</v>
      </c>
      <c r="P297" s="39">
        <f t="shared" si="167"/>
        <v>0</v>
      </c>
      <c r="Q297" s="39">
        <f t="shared" si="167"/>
        <v>0</v>
      </c>
      <c r="R297" s="39">
        <f t="shared" si="167"/>
        <v>1.5227793418307847E-4</v>
      </c>
      <c r="S297" s="39">
        <f t="shared" si="167"/>
        <v>1.1510177205861412E-4</v>
      </c>
      <c r="T297" s="39">
        <f t="shared" si="167"/>
        <v>5.6020488044696622E-4</v>
      </c>
      <c r="U297" s="39">
        <f t="shared" si="167"/>
        <v>4.7224721197052232E-4</v>
      </c>
      <c r="V297" s="39">
        <f t="shared" si="167"/>
        <v>0</v>
      </c>
      <c r="W297" s="39">
        <f t="shared" si="167"/>
        <v>0</v>
      </c>
      <c r="X297" s="39">
        <f t="shared" si="167"/>
        <v>0</v>
      </c>
    </row>
    <row r="298" spans="3:24" x14ac:dyDescent="0.25">
      <c r="C298" s="31" t="str">
        <f t="shared" si="168"/>
        <v>Other Expenses</v>
      </c>
      <c r="E298" t="str">
        <f>'2025 Data'!E297</f>
        <v>% of Branch Revenue</v>
      </c>
      <c r="G298" s="31">
        <f t="shared" si="167"/>
        <v>0</v>
      </c>
      <c r="H298" s="31">
        <f t="shared" si="167"/>
        <v>0</v>
      </c>
      <c r="I298" s="39">
        <f t="shared" si="167"/>
        <v>9.4088334622917369E-4</v>
      </c>
      <c r="J298" s="39">
        <f t="shared" si="167"/>
        <v>6.7420074949286655E-4</v>
      </c>
      <c r="K298" s="39">
        <f t="shared" si="167"/>
        <v>7.6571405071941285E-4</v>
      </c>
      <c r="L298" s="39">
        <f t="shared" si="167"/>
        <v>1.5939613369038046E-3</v>
      </c>
      <c r="M298" s="39">
        <f t="shared" si="167"/>
        <v>5.1978656923126548E-4</v>
      </c>
      <c r="N298" s="39">
        <f t="shared" si="167"/>
        <v>2.8932566695661125E-4</v>
      </c>
      <c r="O298" s="39">
        <f t="shared" si="167"/>
        <v>8.2197143150164584E-4</v>
      </c>
      <c r="P298" s="39">
        <f t="shared" si="167"/>
        <v>6.8040157345980337E-4</v>
      </c>
      <c r="Q298" s="39">
        <f t="shared" si="167"/>
        <v>2.2870339697057197E-4</v>
      </c>
      <c r="R298" s="39">
        <f t="shared" si="167"/>
        <v>7.5784920894563575E-4</v>
      </c>
      <c r="S298" s="39">
        <f t="shared" si="167"/>
        <v>2.1201003821118926E-4</v>
      </c>
      <c r="T298" s="39">
        <f t="shared" si="167"/>
        <v>1.4391470204585857E-4</v>
      </c>
      <c r="U298" s="39">
        <f t="shared" si="167"/>
        <v>1.9933717661141945E-3</v>
      </c>
      <c r="V298" s="39">
        <f t="shared" si="167"/>
        <v>1.7866652113962824E-4</v>
      </c>
      <c r="W298" s="39">
        <f t="shared" si="167"/>
        <v>1.0300326926490746E-5</v>
      </c>
      <c r="X298" s="39">
        <f t="shared" si="167"/>
        <v>-1.3278338879806135E-4</v>
      </c>
    </row>
    <row r="299" spans="3:24" x14ac:dyDescent="0.25">
      <c r="C299" s="31" t="str">
        <f t="shared" si="168"/>
        <v xml:space="preserve">Total fees and commission expenses </v>
      </c>
      <c r="E299" t="str">
        <f>'2025 Data'!E298</f>
        <v>% of Branch Revenue</v>
      </c>
      <c r="G299" s="31">
        <f t="shared" si="167"/>
        <v>0</v>
      </c>
      <c r="H299" s="31">
        <f t="shared" si="167"/>
        <v>0</v>
      </c>
      <c r="I299" s="39">
        <f t="shared" si="167"/>
        <v>7.2418967618308348E-3</v>
      </c>
      <c r="J299" s="39">
        <f t="shared" si="167"/>
        <v>4.4812529360990028E-3</v>
      </c>
      <c r="K299" s="39">
        <f t="shared" si="167"/>
        <v>1.6791504827713293E-2</v>
      </c>
      <c r="L299" s="39">
        <f t="shared" si="167"/>
        <v>1.3166822422424455E-2</v>
      </c>
      <c r="M299" s="39">
        <f t="shared" si="167"/>
        <v>7.9938279407438945E-3</v>
      </c>
      <c r="N299" s="39">
        <f t="shared" si="167"/>
        <v>1.3745612990593284E-2</v>
      </c>
      <c r="O299" s="39">
        <f t="shared" si="167"/>
        <v>1.2982855651152597E-2</v>
      </c>
      <c r="P299" s="39">
        <f t="shared" si="167"/>
        <v>2.7834762467226302E-2</v>
      </c>
      <c r="Q299" s="39">
        <f t="shared" si="167"/>
        <v>1.4337552329395186E-2</v>
      </c>
      <c r="R299" s="39">
        <f t="shared" si="167"/>
        <v>3.1723567125074639E-2</v>
      </c>
      <c r="S299" s="39">
        <f t="shared" si="167"/>
        <v>1.1970695682907539E-2</v>
      </c>
      <c r="T299" s="39">
        <f t="shared" si="167"/>
        <v>2.2159193807224808E-2</v>
      </c>
      <c r="U299" s="39">
        <f t="shared" si="167"/>
        <v>3.2569261770944956E-2</v>
      </c>
      <c r="V299" s="39">
        <f t="shared" si="167"/>
        <v>1.9703282518663483E-2</v>
      </c>
      <c r="W299" s="39">
        <f t="shared" si="167"/>
        <v>1.3230093058450765E-2</v>
      </c>
      <c r="X299" s="39">
        <f t="shared" si="167"/>
        <v>4.5282137332279308E-2</v>
      </c>
    </row>
    <row r="300" spans="3:24" x14ac:dyDescent="0.25">
      <c r="C300" s="31">
        <f t="shared" si="168"/>
        <v>0</v>
      </c>
    </row>
    <row r="301" spans="3:24" x14ac:dyDescent="0.25">
      <c r="C301" s="31" t="str">
        <f t="shared" si="168"/>
        <v>Other Expenses</v>
      </c>
      <c r="E301" t="str">
        <f>'2025 Data'!E300</f>
        <v>% of Branch Revenue</v>
      </c>
      <c r="G301" s="31">
        <f t="shared" si="167"/>
        <v>0</v>
      </c>
      <c r="H301" s="31">
        <f t="shared" si="167"/>
        <v>0</v>
      </c>
      <c r="I301" s="31">
        <f t="shared" si="167"/>
        <v>0</v>
      </c>
      <c r="J301" s="31">
        <f t="shared" si="167"/>
        <v>0</v>
      </c>
      <c r="K301" s="31">
        <f t="shared" si="167"/>
        <v>0</v>
      </c>
      <c r="L301" s="31">
        <f t="shared" si="167"/>
        <v>0</v>
      </c>
      <c r="M301" s="31">
        <f t="shared" si="167"/>
        <v>0</v>
      </c>
      <c r="N301" s="31">
        <f t="shared" si="167"/>
        <v>0</v>
      </c>
      <c r="O301" s="31">
        <f t="shared" si="167"/>
        <v>0</v>
      </c>
      <c r="P301" s="31">
        <f t="shared" si="167"/>
        <v>0</v>
      </c>
      <c r="Q301" s="31">
        <f t="shared" si="167"/>
        <v>0</v>
      </c>
      <c r="R301" s="31">
        <f t="shared" si="167"/>
        <v>0</v>
      </c>
      <c r="S301" s="31">
        <f t="shared" si="167"/>
        <v>0</v>
      </c>
      <c r="T301" s="31">
        <f t="shared" si="167"/>
        <v>0</v>
      </c>
      <c r="U301" s="31">
        <f t="shared" si="167"/>
        <v>0</v>
      </c>
      <c r="V301" s="31">
        <f t="shared" si="167"/>
        <v>0</v>
      </c>
      <c r="W301" s="31">
        <f t="shared" si="167"/>
        <v>0</v>
      </c>
      <c r="X301" s="31">
        <f t="shared" si="167"/>
        <v>0</v>
      </c>
    </row>
    <row r="302" spans="3:24" x14ac:dyDescent="0.25">
      <c r="C302" s="31">
        <f t="shared" si="168"/>
        <v>0</v>
      </c>
    </row>
    <row r="303" spans="3:24" x14ac:dyDescent="0.25">
      <c r="C303" s="31" t="str">
        <f t="shared" si="168"/>
        <v>Total Provision for Loan Losses</v>
      </c>
      <c r="E303" t="str">
        <f>'2025 Data'!E302</f>
        <v>% of Branch Revenue</v>
      </c>
      <c r="G303" s="31">
        <f t="shared" ref="G303:X314" si="169">G257</f>
        <v>0</v>
      </c>
      <c r="H303" s="31">
        <f t="shared" si="169"/>
        <v>0</v>
      </c>
      <c r="I303" s="39">
        <f t="shared" si="169"/>
        <v>6.1572815060823932E-2</v>
      </c>
      <c r="J303" s="39">
        <f t="shared" si="169"/>
        <v>5.6648823741601212E-2</v>
      </c>
      <c r="K303" s="39">
        <f t="shared" si="169"/>
        <v>-4.0790845795654333E-2</v>
      </c>
      <c r="L303" s="39">
        <f t="shared" si="169"/>
        <v>4.4901846535602717E-2</v>
      </c>
      <c r="M303" s="39">
        <f t="shared" si="169"/>
        <v>0.1584746975550351</v>
      </c>
      <c r="N303" s="39">
        <f t="shared" si="169"/>
        <v>4.5172301749556505E-2</v>
      </c>
      <c r="O303" s="39">
        <f t="shared" si="169"/>
        <v>4.6515619702687465E-2</v>
      </c>
      <c r="P303" s="39">
        <f t="shared" si="169"/>
        <v>9.8265068422021429E-2</v>
      </c>
      <c r="Q303" s="39">
        <f t="shared" si="169"/>
        <v>0.28002959342028033</v>
      </c>
      <c r="R303" s="39">
        <f t="shared" si="169"/>
        <v>0.55111152708366795</v>
      </c>
      <c r="S303" s="39">
        <f t="shared" si="169"/>
        <v>0.53677518325594475</v>
      </c>
      <c r="T303" s="39">
        <f t="shared" si="169"/>
        <v>0.11218711229355122</v>
      </c>
      <c r="U303" s="39">
        <f t="shared" si="169"/>
        <v>0.29211665515767643</v>
      </c>
      <c r="V303" s="39">
        <f t="shared" si="169"/>
        <v>0.12498475703247297</v>
      </c>
      <c r="W303" s="39">
        <f t="shared" si="169"/>
        <v>7.7189884819978544E-2</v>
      </c>
      <c r="X303" s="39">
        <f t="shared" si="169"/>
        <v>3.4153935853263054E-2</v>
      </c>
    </row>
    <row r="304" spans="3:24" x14ac:dyDescent="0.25">
      <c r="C304" s="31">
        <f t="shared" si="168"/>
        <v>0</v>
      </c>
      <c r="G304" s="31">
        <f t="shared" si="169"/>
        <v>0</v>
      </c>
      <c r="H304" s="31">
        <f t="shared" si="169"/>
        <v>0</v>
      </c>
      <c r="I304" s="31">
        <f t="shared" si="169"/>
        <v>0</v>
      </c>
      <c r="J304" s="31">
        <f t="shared" si="169"/>
        <v>0</v>
      </c>
      <c r="K304" s="31">
        <f t="shared" si="169"/>
        <v>0</v>
      </c>
      <c r="L304" s="31">
        <f t="shared" si="169"/>
        <v>0</v>
      </c>
      <c r="M304" s="31">
        <f t="shared" si="169"/>
        <v>0</v>
      </c>
      <c r="N304" s="31">
        <f t="shared" si="169"/>
        <v>0</v>
      </c>
      <c r="O304" s="31">
        <f t="shared" si="169"/>
        <v>0</v>
      </c>
      <c r="P304" s="31">
        <f t="shared" si="169"/>
        <v>0</v>
      </c>
      <c r="Q304" s="31">
        <f t="shared" si="169"/>
        <v>0</v>
      </c>
      <c r="R304" s="31">
        <f t="shared" si="169"/>
        <v>0</v>
      </c>
      <c r="S304" s="31">
        <f t="shared" si="169"/>
        <v>0</v>
      </c>
      <c r="T304" s="31">
        <f t="shared" si="169"/>
        <v>0</v>
      </c>
      <c r="U304" s="31">
        <f t="shared" si="169"/>
        <v>0</v>
      </c>
      <c r="V304" s="31">
        <f t="shared" si="169"/>
        <v>0</v>
      </c>
      <c r="W304" s="31">
        <f t="shared" si="169"/>
        <v>0</v>
      </c>
      <c r="X304" s="31">
        <f t="shared" si="169"/>
        <v>0</v>
      </c>
    </row>
    <row r="305" spans="3:24" x14ac:dyDescent="0.25">
      <c r="C305" s="31" t="str">
        <f t="shared" si="168"/>
        <v>Staff salaries</v>
      </c>
      <c r="E305" t="str">
        <f>'2025 Data'!E304</f>
        <v>% of Branch Revenue</v>
      </c>
      <c r="G305" s="31">
        <f t="shared" si="169"/>
        <v>0</v>
      </c>
      <c r="H305" s="31">
        <f t="shared" si="169"/>
        <v>0</v>
      </c>
      <c r="I305" s="39">
        <f t="shared" si="169"/>
        <v>4.7227919343458644E-2</v>
      </c>
      <c r="J305" s="39">
        <f t="shared" si="169"/>
        <v>4.1559816925962036E-2</v>
      </c>
      <c r="K305" s="39">
        <f t="shared" si="169"/>
        <v>0.15056271742211103</v>
      </c>
      <c r="L305" s="39">
        <f t="shared" si="169"/>
        <v>0.15205615174060477</v>
      </c>
      <c r="M305" s="39">
        <f t="shared" si="169"/>
        <v>0.10828691983634109</v>
      </c>
      <c r="N305" s="39">
        <f t="shared" si="169"/>
        <v>0.11622605182271538</v>
      </c>
      <c r="O305" s="39">
        <f t="shared" si="169"/>
        <v>8.5297846959885612E-2</v>
      </c>
      <c r="P305" s="39">
        <f t="shared" si="169"/>
        <v>0.12356517941616399</v>
      </c>
      <c r="Q305" s="39">
        <f t="shared" si="169"/>
        <v>0.10950033128208236</v>
      </c>
      <c r="R305" s="39">
        <f t="shared" si="169"/>
        <v>0.12323280267709176</v>
      </c>
      <c r="S305" s="39">
        <f t="shared" si="169"/>
        <v>0.12346944810965203</v>
      </c>
      <c r="T305" s="39">
        <f t="shared" si="169"/>
        <v>0.32076114457584037</v>
      </c>
      <c r="U305" s="39">
        <f t="shared" si="169"/>
        <v>0.23228472468353942</v>
      </c>
      <c r="V305" s="39">
        <f t="shared" si="169"/>
        <v>0.32479454117976625</v>
      </c>
      <c r="W305" s="39">
        <f t="shared" si="169"/>
        <v>0.1112444725502762</v>
      </c>
      <c r="X305" s="39">
        <f t="shared" si="169"/>
        <v>0.4872481154735202</v>
      </c>
    </row>
    <row r="306" spans="3:24" x14ac:dyDescent="0.25">
      <c r="C306" s="31" t="str">
        <f t="shared" si="168"/>
        <v>House alowance</v>
      </c>
      <c r="E306" t="str">
        <f>'2025 Data'!E305</f>
        <v>% of Branch Revenue</v>
      </c>
      <c r="G306" s="31">
        <f t="shared" si="169"/>
        <v>0</v>
      </c>
      <c r="H306" s="31">
        <f t="shared" si="169"/>
        <v>0</v>
      </c>
      <c r="I306" s="39">
        <f t="shared" si="169"/>
        <v>1.1038875434625089E-2</v>
      </c>
      <c r="J306" s="39">
        <f t="shared" si="169"/>
        <v>9.5843143173022054E-3</v>
      </c>
      <c r="K306" s="39">
        <f t="shared" si="169"/>
        <v>3.6071148674147943E-2</v>
      </c>
      <c r="L306" s="39">
        <f t="shared" si="169"/>
        <v>3.6764542204993846E-2</v>
      </c>
      <c r="M306" s="39">
        <f t="shared" si="169"/>
        <v>2.58969253293624E-2</v>
      </c>
      <c r="N306" s="39">
        <f t="shared" si="169"/>
        <v>2.7765092422355735E-2</v>
      </c>
      <c r="O306" s="39">
        <f t="shared" si="169"/>
        <v>2.0018043932541918E-2</v>
      </c>
      <c r="P306" s="39">
        <f t="shared" si="169"/>
        <v>2.8788362648390832E-2</v>
      </c>
      <c r="Q306" s="39">
        <f t="shared" si="169"/>
        <v>2.4820807633642292E-2</v>
      </c>
      <c r="R306" s="39">
        <f t="shared" si="169"/>
        <v>2.8543166330693957E-2</v>
      </c>
      <c r="S306" s="39">
        <f t="shared" si="169"/>
        <v>2.6214020160706581E-2</v>
      </c>
      <c r="T306" s="39">
        <f t="shared" si="169"/>
        <v>7.0068494705339476E-2</v>
      </c>
      <c r="U306" s="39">
        <f t="shared" si="169"/>
        <v>4.9213126225247428E-2</v>
      </c>
      <c r="V306" s="39">
        <f t="shared" si="169"/>
        <v>7.761550125071684E-2</v>
      </c>
      <c r="W306" s="39">
        <f t="shared" si="169"/>
        <v>2.5960855697010763E-2</v>
      </c>
      <c r="X306" s="39">
        <f t="shared" si="169"/>
        <v>0.10619298547028362</v>
      </c>
    </row>
    <row r="307" spans="3:24" x14ac:dyDescent="0.25">
      <c r="C307" s="31" t="str">
        <f t="shared" si="168"/>
        <v>Other personnel expenses</v>
      </c>
      <c r="E307" t="str">
        <f>'2025 Data'!E306</f>
        <v>% of Branch Revenue</v>
      </c>
      <c r="G307" s="31">
        <f t="shared" si="169"/>
        <v>0</v>
      </c>
      <c r="H307" s="31">
        <f t="shared" si="169"/>
        <v>0</v>
      </c>
      <c r="I307" s="39">
        <f t="shared" si="169"/>
        <v>2.1983827523365144E-2</v>
      </c>
      <c r="J307" s="39">
        <f t="shared" si="169"/>
        <v>1.9761923442021875E-2</v>
      </c>
      <c r="K307" s="39">
        <f t="shared" si="169"/>
        <v>6.8441651307477022E-2</v>
      </c>
      <c r="L307" s="39">
        <f t="shared" si="169"/>
        <v>8.8424424741850943E-2</v>
      </c>
      <c r="M307" s="39">
        <f t="shared" si="169"/>
        <v>4.7711009924164619E-2</v>
      </c>
      <c r="N307" s="39">
        <f t="shared" si="169"/>
        <v>8.489835458135972E-2</v>
      </c>
      <c r="O307" s="39">
        <f t="shared" si="169"/>
        <v>4.3831086646804025E-2</v>
      </c>
      <c r="P307" s="39">
        <f t="shared" si="169"/>
        <v>5.7346250012444713E-2</v>
      </c>
      <c r="Q307" s="39">
        <f t="shared" si="169"/>
        <v>5.4226642511973296E-2</v>
      </c>
      <c r="R307" s="39">
        <f t="shared" si="169"/>
        <v>7.8112108423716478E-2</v>
      </c>
      <c r="S307" s="39">
        <f t="shared" si="169"/>
        <v>0.10365972767589064</v>
      </c>
      <c r="T307" s="39">
        <f t="shared" si="169"/>
        <v>0.19616365902647018</v>
      </c>
      <c r="U307" s="39">
        <f t="shared" si="169"/>
        <v>0.13741620359977766</v>
      </c>
      <c r="V307" s="39">
        <f t="shared" si="169"/>
        <v>0.17349983346642026</v>
      </c>
      <c r="W307" s="39">
        <f t="shared" si="169"/>
        <v>8.6768453123977324E-2</v>
      </c>
      <c r="X307" s="39">
        <f t="shared" si="169"/>
        <v>0.35782315759958006</v>
      </c>
    </row>
    <row r="308" spans="3:24" x14ac:dyDescent="0.25">
      <c r="C308" s="31" t="str">
        <f t="shared" si="168"/>
        <v xml:space="preserve">Total personnel expenses </v>
      </c>
      <c r="E308" t="str">
        <f>'2025 Data'!E307</f>
        <v>% of Branch Revenue</v>
      </c>
      <c r="G308" s="31">
        <f t="shared" si="169"/>
        <v>0</v>
      </c>
      <c r="H308" s="31">
        <f t="shared" si="169"/>
        <v>0</v>
      </c>
      <c r="I308" s="39">
        <f t="shared" si="169"/>
        <v>8.0250622301448873E-2</v>
      </c>
      <c r="J308" s="39">
        <f t="shared" si="169"/>
        <v>7.0906054685286116E-2</v>
      </c>
      <c r="K308" s="39">
        <f t="shared" si="169"/>
        <v>0.25507551740373596</v>
      </c>
      <c r="L308" s="39">
        <f t="shared" si="169"/>
        <v>0.27724511868744955</v>
      </c>
      <c r="M308" s="39">
        <f t="shared" si="169"/>
        <v>0.18189485508986811</v>
      </c>
      <c r="N308" s="39">
        <f t="shared" si="169"/>
        <v>0.22888949882643084</v>
      </c>
      <c r="O308" s="39">
        <f t="shared" si="169"/>
        <v>0.14914697753923156</v>
      </c>
      <c r="P308" s="39">
        <f t="shared" si="169"/>
        <v>0.20969979207699954</v>
      </c>
      <c r="Q308" s="39">
        <f t="shared" si="169"/>
        <v>0.18854778142769796</v>
      </c>
      <c r="R308" s="39">
        <f t="shared" si="169"/>
        <v>0.22988807743150219</v>
      </c>
      <c r="S308" s="39">
        <f t="shared" si="169"/>
        <v>0.25334319594624927</v>
      </c>
      <c r="T308" s="39">
        <f t="shared" si="169"/>
        <v>0.58699329830765001</v>
      </c>
      <c r="U308" s="39">
        <f t="shared" si="169"/>
        <v>0.4189140545085645</v>
      </c>
      <c r="V308" s="39">
        <f t="shared" si="169"/>
        <v>0.57590987589690334</v>
      </c>
      <c r="W308" s="39">
        <f t="shared" si="169"/>
        <v>0.22397378137126428</v>
      </c>
      <c r="X308" s="39">
        <f t="shared" si="169"/>
        <v>0.95126425854338392</v>
      </c>
    </row>
    <row r="309" spans="3:24" x14ac:dyDescent="0.25">
      <c r="C309" s="31">
        <f t="shared" si="168"/>
        <v>0</v>
      </c>
    </row>
    <row r="310" spans="3:24" x14ac:dyDescent="0.25">
      <c r="C310" s="31" t="str">
        <f t="shared" si="168"/>
        <v>Total governance Expenses</v>
      </c>
      <c r="E310" t="str">
        <f>'2025 Data'!E309</f>
        <v>% of Branch Revenue</v>
      </c>
      <c r="G310" s="31">
        <f t="shared" si="169"/>
        <v>0</v>
      </c>
      <c r="H310" s="31">
        <f t="shared" si="169"/>
        <v>0</v>
      </c>
      <c r="I310" s="39">
        <f t="shared" si="169"/>
        <v>3.3977219584139143E-2</v>
      </c>
      <c r="J310" s="39">
        <f t="shared" si="169"/>
        <v>5.4855525222502685E-2</v>
      </c>
      <c r="K310" s="39">
        <f t="shared" si="169"/>
        <v>7.3926983998590684E-2</v>
      </c>
      <c r="L310" s="39">
        <f t="shared" si="169"/>
        <v>0.12139617430533778</v>
      </c>
      <c r="M310" s="39">
        <f t="shared" si="169"/>
        <v>0.12852673060018413</v>
      </c>
      <c r="N310" s="39">
        <f t="shared" si="169"/>
        <v>8.0120565815736525E-2</v>
      </c>
      <c r="O310" s="39">
        <f t="shared" si="169"/>
        <v>5.7378764419305131E-2</v>
      </c>
      <c r="P310" s="39">
        <f t="shared" si="169"/>
        <v>6.710022727145909E-2</v>
      </c>
      <c r="Q310" s="39">
        <f t="shared" si="169"/>
        <v>4.6571402974211251E-2</v>
      </c>
      <c r="R310" s="39">
        <f t="shared" si="169"/>
        <v>1.0815635449062012E-2</v>
      </c>
      <c r="S310" s="39">
        <f t="shared" si="169"/>
        <v>2.1653465174120947E-2</v>
      </c>
      <c r="T310" s="39">
        <f t="shared" si="169"/>
        <v>3.283959643999457E-3</v>
      </c>
      <c r="U310" s="39">
        <f t="shared" si="169"/>
        <v>0</v>
      </c>
      <c r="V310" s="39">
        <f t="shared" si="169"/>
        <v>1.6382030591599152E-3</v>
      </c>
      <c r="W310" s="39">
        <f t="shared" si="169"/>
        <v>0</v>
      </c>
      <c r="X310" s="39">
        <f t="shared" si="169"/>
        <v>0</v>
      </c>
    </row>
    <row r="311" spans="3:24" x14ac:dyDescent="0.25">
      <c r="C311" s="31">
        <f t="shared" si="168"/>
        <v>0</v>
      </c>
    </row>
    <row r="312" spans="3:24" x14ac:dyDescent="0.25">
      <c r="C312" s="31" t="str">
        <f t="shared" si="168"/>
        <v>Total Marketing Expenses</v>
      </c>
      <c r="E312" t="str">
        <f>'2025 Data'!E311</f>
        <v>% of Branch Revenue</v>
      </c>
      <c r="G312" s="31">
        <f t="shared" si="169"/>
        <v>0</v>
      </c>
      <c r="H312" s="31">
        <f t="shared" si="169"/>
        <v>0</v>
      </c>
      <c r="I312" s="39">
        <f t="shared" si="169"/>
        <v>1.0930537283219829E-3</v>
      </c>
      <c r="J312" s="39">
        <f t="shared" si="169"/>
        <v>9.3914884115168205E-4</v>
      </c>
      <c r="K312" s="39">
        <f t="shared" si="169"/>
        <v>2.7455309061497225E-3</v>
      </c>
      <c r="L312" s="39">
        <f t="shared" si="169"/>
        <v>2.1771960292630769E-3</v>
      </c>
      <c r="M312" s="39">
        <f t="shared" si="169"/>
        <v>1.912305182606668E-4</v>
      </c>
      <c r="N312" s="39">
        <f t="shared" si="169"/>
        <v>2.1081863260524283E-3</v>
      </c>
      <c r="O312" s="39">
        <f t="shared" si="169"/>
        <v>1.7216776072331199E-3</v>
      </c>
      <c r="P312" s="39">
        <f t="shared" si="169"/>
        <v>6.1396756884225844E-4</v>
      </c>
      <c r="Q312" s="39">
        <f t="shared" si="169"/>
        <v>3.3346570333823941E-3</v>
      </c>
      <c r="R312" s="39">
        <f t="shared" si="169"/>
        <v>1.1845700500101675E-3</v>
      </c>
      <c r="S312" s="39">
        <f t="shared" si="169"/>
        <v>6.5013936411172047E-3</v>
      </c>
      <c r="T312" s="39">
        <f t="shared" si="169"/>
        <v>1.0514079735506027E-2</v>
      </c>
      <c r="U312" s="39">
        <f t="shared" si="169"/>
        <v>7.3472709769972456E-3</v>
      </c>
      <c r="V312" s="39">
        <f t="shared" si="169"/>
        <v>1.0250646091928379E-2</v>
      </c>
      <c r="W312" s="39">
        <f t="shared" si="169"/>
        <v>9.1231467063203754E-5</v>
      </c>
      <c r="X312" s="39">
        <f t="shared" si="169"/>
        <v>1.8266191495188634E-2</v>
      </c>
    </row>
    <row r="313" spans="3:24" x14ac:dyDescent="0.25">
      <c r="C313" s="31">
        <f t="shared" si="168"/>
        <v>0</v>
      </c>
    </row>
    <row r="314" spans="3:24" x14ac:dyDescent="0.25">
      <c r="C314" s="31" t="str">
        <f t="shared" si="168"/>
        <v>Total Depreciation and amortization</v>
      </c>
      <c r="E314" t="str">
        <f>'2025 Data'!E313</f>
        <v>% of Branch Revenue</v>
      </c>
      <c r="G314" s="31">
        <f t="shared" si="169"/>
        <v>0</v>
      </c>
      <c r="H314" s="31">
        <f t="shared" si="169"/>
        <v>0</v>
      </c>
      <c r="I314" s="39">
        <f t="shared" si="169"/>
        <v>1.0167314077130351E-3</v>
      </c>
      <c r="J314" s="39">
        <f t="shared" si="169"/>
        <v>6.8249368958655653E-4</v>
      </c>
      <c r="K314" s="39">
        <f t="shared" si="169"/>
        <v>3.0479186312015057E-3</v>
      </c>
      <c r="L314" s="39">
        <f t="shared" si="169"/>
        <v>2.0032546639834762E-3</v>
      </c>
      <c r="M314" s="39">
        <f t="shared" si="169"/>
        <v>2.1383763814562E-3</v>
      </c>
      <c r="N314" s="39">
        <f t="shared" si="169"/>
        <v>4.279238824856659E-3</v>
      </c>
      <c r="O314" s="39">
        <f t="shared" si="169"/>
        <v>8.7152528959458394E-4</v>
      </c>
      <c r="P314" s="39">
        <f t="shared" si="169"/>
        <v>3.1429881791399297E-3</v>
      </c>
      <c r="Q314" s="39">
        <f t="shared" si="169"/>
        <v>4.1292066659850751E-3</v>
      </c>
      <c r="R314" s="39">
        <f t="shared" si="169"/>
        <v>4.6271173080870221E-3</v>
      </c>
      <c r="S314" s="39">
        <f t="shared" si="169"/>
        <v>7.6178437004818713E-3</v>
      </c>
      <c r="T314" s="39">
        <f t="shared" si="169"/>
        <v>8.1286694023338327E-3</v>
      </c>
      <c r="U314" s="39">
        <f t="shared" si="169"/>
        <v>5.087160958052804E-3</v>
      </c>
      <c r="V314" s="39">
        <f t="shared" si="169"/>
        <v>2.1380392900478447E-2</v>
      </c>
      <c r="W314" s="39">
        <f t="shared" si="169"/>
        <v>6.7694925741117349E-3</v>
      </c>
      <c r="X314" s="39">
        <f t="shared" si="169"/>
        <v>1.8189911676091873E-2</v>
      </c>
    </row>
    <row r="315" spans="3:24" x14ac:dyDescent="0.25">
      <c r="C315" s="31">
        <f t="shared" si="168"/>
        <v>0</v>
      </c>
      <c r="G315" s="31">
        <f t="shared" ref="G315:X325" si="170">G269</f>
        <v>0</v>
      </c>
      <c r="H315" s="31">
        <f t="shared" si="170"/>
        <v>0</v>
      </c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</row>
    <row r="316" spans="3:24" x14ac:dyDescent="0.25">
      <c r="C316" s="31" t="str">
        <f t="shared" si="168"/>
        <v>Security</v>
      </c>
      <c r="E316" t="str">
        <f>'2025 Data'!E315</f>
        <v>% of Branch Revenue</v>
      </c>
      <c r="G316" s="31">
        <f t="shared" si="170"/>
        <v>0</v>
      </c>
      <c r="H316" s="31">
        <f t="shared" si="170"/>
        <v>0</v>
      </c>
      <c r="I316" s="39">
        <f t="shared" si="170"/>
        <v>1.1771512266999498E-2</v>
      </c>
      <c r="J316" s="39">
        <f t="shared" si="170"/>
        <v>8.5292448981239867E-3</v>
      </c>
      <c r="K316" s="39">
        <f t="shared" si="170"/>
        <v>4.5564040875265312E-2</v>
      </c>
      <c r="L316" s="39">
        <f t="shared" si="170"/>
        <v>3.4564988422784521E-2</v>
      </c>
      <c r="M316" s="39">
        <f t="shared" si="170"/>
        <v>1.8389218214544836E-2</v>
      </c>
      <c r="N316" s="39">
        <f t="shared" si="170"/>
        <v>3.7282163161431854E-2</v>
      </c>
      <c r="O316" s="39">
        <f t="shared" si="170"/>
        <v>1.7946355840916826E-2</v>
      </c>
      <c r="P316" s="39">
        <f t="shared" si="170"/>
        <v>3.0987723379252399E-2</v>
      </c>
      <c r="Q316" s="39">
        <f t="shared" si="170"/>
        <v>3.7029741515102944E-2</v>
      </c>
      <c r="R316" s="39">
        <f t="shared" si="170"/>
        <v>3.5758437477640126E-2</v>
      </c>
      <c r="S316" s="39">
        <f t="shared" si="170"/>
        <v>6.0250950824178813E-2</v>
      </c>
      <c r="T316" s="39">
        <f t="shared" si="170"/>
        <v>0.15185068028672832</v>
      </c>
      <c r="U316" s="39">
        <f t="shared" si="170"/>
        <v>0.10461089964478053</v>
      </c>
      <c r="V316" s="39">
        <f t="shared" si="170"/>
        <v>0.1601261580175859</v>
      </c>
      <c r="W316" s="39">
        <f t="shared" si="170"/>
        <v>4.7172142359700131E-2</v>
      </c>
      <c r="X316" s="39">
        <f t="shared" si="170"/>
        <v>0.22332718091860326</v>
      </c>
    </row>
    <row r="317" spans="3:24" x14ac:dyDescent="0.25">
      <c r="C317" s="31" t="str">
        <f t="shared" si="168"/>
        <v>Other Admin Expenses</v>
      </c>
      <c r="E317" t="str">
        <f>'2025 Data'!E316</f>
        <v>% of Branch Revenue</v>
      </c>
      <c r="G317" s="31">
        <f t="shared" si="170"/>
        <v>0</v>
      </c>
      <c r="H317" s="31">
        <f t="shared" si="170"/>
        <v>0</v>
      </c>
      <c r="I317" s="39">
        <f t="shared" si="170"/>
        <v>3.0343138901253026E-2</v>
      </c>
      <c r="J317" s="39">
        <f t="shared" si="170"/>
        <v>2.1651940516495608E-2</v>
      </c>
      <c r="K317" s="39">
        <f t="shared" si="170"/>
        <v>7.6017825467319708E-2</v>
      </c>
      <c r="L317" s="39">
        <f t="shared" si="170"/>
        <v>6.0728499554602321E-2</v>
      </c>
      <c r="M317" s="39">
        <f t="shared" si="170"/>
        <v>4.8137910120860494E-2</v>
      </c>
      <c r="N317" s="39">
        <f t="shared" si="170"/>
        <v>7.4229349521793275E-2</v>
      </c>
      <c r="O317" s="39">
        <f t="shared" si="170"/>
        <v>3.887290418310909E-2</v>
      </c>
      <c r="P317" s="39">
        <f t="shared" si="170"/>
        <v>5.7277424587186099E-2</v>
      </c>
      <c r="Q317" s="39">
        <f t="shared" si="170"/>
        <v>0.11910789277423957</v>
      </c>
      <c r="R317" s="39">
        <f t="shared" si="170"/>
        <v>0.14102210129577672</v>
      </c>
      <c r="S317" s="39">
        <f t="shared" si="170"/>
        <v>9.9522561562461254E-2</v>
      </c>
      <c r="T317" s="39">
        <f t="shared" si="170"/>
        <v>0.34720745111125811</v>
      </c>
      <c r="U317" s="39">
        <f t="shared" si="170"/>
        <v>0.16921089852115787</v>
      </c>
      <c r="V317" s="39">
        <f t="shared" si="170"/>
        <v>0.13832792094933047</v>
      </c>
      <c r="W317" s="39">
        <f t="shared" si="170"/>
        <v>6.9786333549777535E-2</v>
      </c>
      <c r="X317" s="39">
        <f t="shared" si="170"/>
        <v>0.37142021192723257</v>
      </c>
    </row>
    <row r="318" spans="3:24" x14ac:dyDescent="0.25">
      <c r="C318" s="31" t="str">
        <f t="shared" si="168"/>
        <v>Total Admin expenses</v>
      </c>
      <c r="E318" t="str">
        <f>'2025 Data'!E317</f>
        <v>% of Branch Revenue</v>
      </c>
      <c r="G318" s="31">
        <f t="shared" si="170"/>
        <v>0</v>
      </c>
      <c r="H318" s="31">
        <f t="shared" si="170"/>
        <v>0</v>
      </c>
      <c r="I318" s="39">
        <f t="shared" si="170"/>
        <v>4.2114651168252519E-2</v>
      </c>
      <c r="J318" s="39">
        <f t="shared" si="170"/>
        <v>3.0181185414619591E-2</v>
      </c>
      <c r="K318" s="39">
        <f t="shared" si="170"/>
        <v>0.12158186634258501</v>
      </c>
      <c r="L318" s="39">
        <f t="shared" si="170"/>
        <v>9.5293487977386848E-2</v>
      </c>
      <c r="M318" s="39">
        <f t="shared" si="170"/>
        <v>6.6527128335405333E-2</v>
      </c>
      <c r="N318" s="39">
        <f t="shared" si="170"/>
        <v>0.11151151268322512</v>
      </c>
      <c r="O318" s="39">
        <f t="shared" si="170"/>
        <v>5.6819260024025917E-2</v>
      </c>
      <c r="P318" s="39">
        <f t="shared" si="170"/>
        <v>8.8265147966438501E-2</v>
      </c>
      <c r="Q318" s="39">
        <f t="shared" si="170"/>
        <v>0.15613763428934252</v>
      </c>
      <c r="R318" s="39">
        <f t="shared" si="170"/>
        <v>0.17678053877341685</v>
      </c>
      <c r="S318" s="39">
        <f t="shared" si="170"/>
        <v>0.15977351238664006</v>
      </c>
      <c r="T318" s="39">
        <f t="shared" si="170"/>
        <v>0.49905813139798644</v>
      </c>
      <c r="U318" s="39">
        <f t="shared" si="170"/>
        <v>0.27382179816593838</v>
      </c>
      <c r="V318" s="39">
        <f t="shared" si="170"/>
        <v>0.29845407896691639</v>
      </c>
      <c r="W318" s="39">
        <f t="shared" si="170"/>
        <v>0.11695847590947767</v>
      </c>
      <c r="X318" s="39">
        <f t="shared" si="170"/>
        <v>0.59474739284583589</v>
      </c>
    </row>
    <row r="319" spans="3:24" x14ac:dyDescent="0.25">
      <c r="C319" s="31">
        <f t="shared" si="168"/>
        <v>0</v>
      </c>
    </row>
    <row r="320" spans="3:24" x14ac:dyDescent="0.25">
      <c r="C320" s="31" t="str">
        <f t="shared" si="168"/>
        <v>Total Expenses</v>
      </c>
      <c r="E320" t="str">
        <f>'2025 Data'!E319</f>
        <v>% of Branch Revenue</v>
      </c>
      <c r="G320" s="31">
        <f t="shared" si="170"/>
        <v>0</v>
      </c>
      <c r="H320" s="31">
        <f t="shared" si="170"/>
        <v>0</v>
      </c>
      <c r="I320" s="39">
        <f t="shared" si="170"/>
        <v>0.40628039182727821</v>
      </c>
      <c r="J320" s="39">
        <f t="shared" si="170"/>
        <v>0.30328685378873366</v>
      </c>
      <c r="K320" s="39">
        <f t="shared" si="170"/>
        <v>0.5454920213746971</v>
      </c>
      <c r="L320" s="39">
        <f t="shared" si="170"/>
        <v>0.74323860545419829</v>
      </c>
      <c r="M320" s="39">
        <f t="shared" si="170"/>
        <v>0.77799465267091483</v>
      </c>
      <c r="N320" s="39">
        <f t="shared" si="170"/>
        <v>0.63581137726363635</v>
      </c>
      <c r="O320" s="39">
        <f t="shared" si="170"/>
        <v>0.4806192870678781</v>
      </c>
      <c r="P320" s="39">
        <f t="shared" si="170"/>
        <v>0.7303667799855188</v>
      </c>
      <c r="Q320" s="39">
        <f t="shared" si="170"/>
        <v>0.90117063302533496</v>
      </c>
      <c r="R320" s="39">
        <f t="shared" si="170"/>
        <v>1.1858654974310046</v>
      </c>
      <c r="S320" s="39">
        <f t="shared" si="170"/>
        <v>1.0324224612271327</v>
      </c>
      <c r="T320" s="39">
        <f t="shared" si="170"/>
        <v>1.519209570231099</v>
      </c>
      <c r="U320" s="39">
        <f t="shared" si="170"/>
        <v>1.1192710001210744</v>
      </c>
      <c r="V320" s="39">
        <f t="shared" si="170"/>
        <v>1.2108628425751364</v>
      </c>
      <c r="W320" s="39">
        <f t="shared" si="170"/>
        <v>0.53513600433955721</v>
      </c>
      <c r="X320" s="39">
        <f t="shared" si="170"/>
        <v>1.8094281150108973</v>
      </c>
    </row>
    <row r="321" spans="2:59" x14ac:dyDescent="0.25">
      <c r="C321" s="31">
        <f t="shared" si="168"/>
        <v>0</v>
      </c>
      <c r="G321" s="31">
        <f t="shared" si="170"/>
        <v>0</v>
      </c>
      <c r="H321" s="31">
        <f t="shared" si="170"/>
        <v>0</v>
      </c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</row>
    <row r="322" spans="2:59" x14ac:dyDescent="0.25">
      <c r="B322" s="42"/>
      <c r="C322" s="43" t="str">
        <f>'2025 Data'!C321</f>
        <v>Expenses Per Branch  - Consolidated - Horizontal Analysis</v>
      </c>
      <c r="D322" s="42"/>
      <c r="E322" s="42"/>
      <c r="F322" s="42"/>
      <c r="G322" s="43">
        <f t="shared" si="170"/>
        <v>0</v>
      </c>
      <c r="H322" s="43">
        <f t="shared" si="170"/>
        <v>0</v>
      </c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</row>
    <row r="323" spans="2:59" x14ac:dyDescent="0.25">
      <c r="C323" s="31">
        <f t="shared" si="168"/>
        <v>0</v>
      </c>
      <c r="G323" s="31">
        <f t="shared" si="170"/>
        <v>0</v>
      </c>
      <c r="H323" s="31">
        <f t="shared" si="170"/>
        <v>0</v>
      </c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 spans="2:59" x14ac:dyDescent="0.25">
      <c r="C324" s="31" t="str">
        <f t="shared" si="168"/>
        <v>Total interest expense on deposits</v>
      </c>
      <c r="E324" t="str">
        <f>'2025 Data'!E323</f>
        <v>% of Branch Revenue</v>
      </c>
      <c r="G324" s="31">
        <f t="shared" si="170"/>
        <v>0</v>
      </c>
      <c r="H324" s="31">
        <f t="shared" si="170"/>
        <v>0</v>
      </c>
      <c r="I324" s="39">
        <f t="shared" si="170"/>
        <v>0.17901340181474787</v>
      </c>
      <c r="J324" s="39">
        <f t="shared" si="170"/>
        <v>8.4592369257886782E-2</v>
      </c>
      <c r="K324" s="39">
        <f t="shared" si="170"/>
        <v>0.11311354506037526</v>
      </c>
      <c r="L324" s="39">
        <f t="shared" si="170"/>
        <v>0.18705470483275033</v>
      </c>
      <c r="M324" s="39">
        <f t="shared" si="170"/>
        <v>0.23224780624996139</v>
      </c>
      <c r="N324" s="39">
        <f t="shared" si="170"/>
        <v>0.14998446004718494</v>
      </c>
      <c r="O324" s="39">
        <f t="shared" si="170"/>
        <v>0.15518260683464774</v>
      </c>
      <c r="P324" s="39">
        <f t="shared" si="170"/>
        <v>0.23544482603339179</v>
      </c>
      <c r="Q324" s="39">
        <f t="shared" si="170"/>
        <v>0.20808280488504027</v>
      </c>
      <c r="R324" s="39">
        <f t="shared" si="170"/>
        <v>0.17973446421018374</v>
      </c>
      <c r="S324" s="39">
        <f t="shared" si="170"/>
        <v>3.4787171439671055E-2</v>
      </c>
      <c r="T324" s="39">
        <f t="shared" si="170"/>
        <v>0.27688512564284717</v>
      </c>
      <c r="U324" s="39">
        <f t="shared" si="170"/>
        <v>8.9414798582900107E-2</v>
      </c>
      <c r="V324" s="39">
        <f t="shared" si="170"/>
        <v>0.15854160610861348</v>
      </c>
      <c r="W324" s="39">
        <f t="shared" si="170"/>
        <v>9.6923045139210975E-2</v>
      </c>
      <c r="X324" s="39">
        <f t="shared" si="170"/>
        <v>0.14752428726485467</v>
      </c>
    </row>
    <row r="325" spans="2:59" x14ac:dyDescent="0.25">
      <c r="C325" s="31" t="str">
        <f t="shared" si="168"/>
        <v xml:space="preserve">Total fees and commission expenses </v>
      </c>
      <c r="E325" t="str">
        <f>'2025 Data'!E324</f>
        <v>% of Branch Revenue</v>
      </c>
      <c r="G325" s="31">
        <f t="shared" si="170"/>
        <v>0</v>
      </c>
      <c r="H325" s="31">
        <f t="shared" si="170"/>
        <v>0</v>
      </c>
      <c r="I325" s="39">
        <f t="shared" si="170"/>
        <v>7.2418967618308348E-3</v>
      </c>
      <c r="J325" s="39">
        <f t="shared" si="170"/>
        <v>4.4812529360990028E-3</v>
      </c>
      <c r="K325" s="39">
        <f t="shared" si="170"/>
        <v>1.6791504827713293E-2</v>
      </c>
      <c r="L325" s="39">
        <f t="shared" si="170"/>
        <v>1.3166822422424455E-2</v>
      </c>
      <c r="M325" s="39">
        <f t="shared" si="170"/>
        <v>7.9938279407438945E-3</v>
      </c>
      <c r="N325" s="39">
        <f t="shared" si="170"/>
        <v>1.3745612990593284E-2</v>
      </c>
      <c r="O325" s="39">
        <f t="shared" si="170"/>
        <v>1.2982855651152597E-2</v>
      </c>
      <c r="P325" s="39">
        <f t="shared" si="170"/>
        <v>2.7834762467226302E-2</v>
      </c>
      <c r="Q325" s="39">
        <f t="shared" si="170"/>
        <v>1.4337552329395186E-2</v>
      </c>
      <c r="R325" s="39">
        <f t="shared" si="170"/>
        <v>3.1723567125074639E-2</v>
      </c>
      <c r="S325" s="39">
        <f t="shared" si="170"/>
        <v>1.1970695682907539E-2</v>
      </c>
      <c r="T325" s="39">
        <f t="shared" si="170"/>
        <v>2.2159193807224808E-2</v>
      </c>
      <c r="U325" s="39">
        <f t="shared" si="170"/>
        <v>3.2569261770944956E-2</v>
      </c>
      <c r="V325" s="39">
        <f t="shared" si="170"/>
        <v>1.9703282518663483E-2</v>
      </c>
      <c r="W325" s="39">
        <f t="shared" si="170"/>
        <v>1.3230093058450765E-2</v>
      </c>
      <c r="X325" s="39">
        <f t="shared" si="170"/>
        <v>4.5282137332279308E-2</v>
      </c>
    </row>
    <row r="326" spans="2:59" x14ac:dyDescent="0.25">
      <c r="C326" s="31" t="str">
        <f t="shared" si="168"/>
        <v>Other Expenses</v>
      </c>
      <c r="E326" t="str">
        <f>'2025 Data'!E325</f>
        <v>% of Branch Revenue</v>
      </c>
      <c r="I326" s="31">
        <v>0</v>
      </c>
      <c r="J326" s="31">
        <v>0</v>
      </c>
      <c r="K326" s="31">
        <v>0</v>
      </c>
      <c r="L326" s="31">
        <v>0</v>
      </c>
      <c r="M326" s="31">
        <v>0</v>
      </c>
      <c r="N326" s="31">
        <v>0</v>
      </c>
      <c r="O326" s="31">
        <v>0</v>
      </c>
      <c r="P326" s="31">
        <v>0</v>
      </c>
      <c r="Q326" s="31">
        <v>0</v>
      </c>
      <c r="R326" s="31">
        <v>0</v>
      </c>
      <c r="S326" s="31">
        <v>0</v>
      </c>
      <c r="T326" s="31">
        <v>0</v>
      </c>
      <c r="U326" s="31">
        <v>0</v>
      </c>
      <c r="V326" s="31">
        <v>0</v>
      </c>
      <c r="W326" s="31">
        <v>0</v>
      </c>
      <c r="X326" s="31">
        <v>0</v>
      </c>
    </row>
    <row r="327" spans="2:59" x14ac:dyDescent="0.25">
      <c r="C327" s="31" t="str">
        <f t="shared" si="168"/>
        <v>Total Provision for Loan Losses</v>
      </c>
      <c r="E327" t="str">
        <f>'2025 Data'!E326</f>
        <v>% of Branch Revenue</v>
      </c>
      <c r="G327" s="31">
        <f t="shared" ref="G327:X331" si="171">G281</f>
        <v>0</v>
      </c>
      <c r="H327" s="31">
        <f t="shared" si="171"/>
        <v>0</v>
      </c>
      <c r="I327" s="39">
        <f t="shared" si="171"/>
        <v>6.1572815060823932E-2</v>
      </c>
      <c r="J327" s="39">
        <f t="shared" si="171"/>
        <v>5.6648823741601212E-2</v>
      </c>
      <c r="K327" s="39">
        <f t="shared" si="171"/>
        <v>-4.0790845795654333E-2</v>
      </c>
      <c r="L327" s="39">
        <f t="shared" si="171"/>
        <v>4.4901846535602717E-2</v>
      </c>
      <c r="M327" s="39">
        <f t="shared" si="171"/>
        <v>0.1584746975550351</v>
      </c>
      <c r="N327" s="39">
        <f t="shared" si="171"/>
        <v>4.5172301749556505E-2</v>
      </c>
      <c r="O327" s="39">
        <f t="shared" si="171"/>
        <v>4.6515619702687465E-2</v>
      </c>
      <c r="P327" s="39">
        <f t="shared" si="171"/>
        <v>9.8265068422021429E-2</v>
      </c>
      <c r="Q327" s="39">
        <f t="shared" si="171"/>
        <v>0.28002959342028033</v>
      </c>
      <c r="R327" s="39">
        <f t="shared" si="171"/>
        <v>0.55111152708366795</v>
      </c>
      <c r="S327" s="39">
        <f t="shared" si="171"/>
        <v>0.53677518325594475</v>
      </c>
      <c r="T327" s="39">
        <f t="shared" si="171"/>
        <v>0.11218711229355122</v>
      </c>
      <c r="U327" s="39">
        <f t="shared" si="171"/>
        <v>0.29211665515767643</v>
      </c>
      <c r="V327" s="39">
        <f t="shared" si="171"/>
        <v>0.12498475703247297</v>
      </c>
      <c r="W327" s="39">
        <f t="shared" si="171"/>
        <v>7.7189884819978544E-2</v>
      </c>
      <c r="X327" s="39">
        <f t="shared" si="171"/>
        <v>3.4153935853263054E-2</v>
      </c>
    </row>
    <row r="328" spans="2:59" x14ac:dyDescent="0.25">
      <c r="C328" s="31" t="str">
        <f t="shared" si="168"/>
        <v xml:space="preserve">Total personnel expenses </v>
      </c>
      <c r="E328" t="str">
        <f>'2025 Data'!E327</f>
        <v>% of Branch Revenue</v>
      </c>
      <c r="G328" s="31">
        <f t="shared" si="171"/>
        <v>0</v>
      </c>
      <c r="H328" s="31">
        <f t="shared" si="171"/>
        <v>0</v>
      </c>
      <c r="I328" s="39">
        <f t="shared" si="171"/>
        <v>8.0250622301448873E-2</v>
      </c>
      <c r="J328" s="39">
        <f t="shared" si="171"/>
        <v>7.0906054685286116E-2</v>
      </c>
      <c r="K328" s="39">
        <f t="shared" si="171"/>
        <v>0.25507551740373596</v>
      </c>
      <c r="L328" s="39">
        <f t="shared" si="171"/>
        <v>0.27724511868744955</v>
      </c>
      <c r="M328" s="39">
        <f t="shared" si="171"/>
        <v>0.18189485508986811</v>
      </c>
      <c r="N328" s="39">
        <f t="shared" si="171"/>
        <v>0.22888949882643084</v>
      </c>
      <c r="O328" s="39">
        <f t="shared" si="171"/>
        <v>0.14914697753923156</v>
      </c>
      <c r="P328" s="39">
        <f t="shared" si="171"/>
        <v>0.20969979207699954</v>
      </c>
      <c r="Q328" s="39">
        <f t="shared" si="171"/>
        <v>0.18854778142769796</v>
      </c>
      <c r="R328" s="39">
        <f t="shared" si="171"/>
        <v>0.22988807743150219</v>
      </c>
      <c r="S328" s="39">
        <f t="shared" si="171"/>
        <v>0.25334319594624927</v>
      </c>
      <c r="T328" s="39">
        <f t="shared" si="171"/>
        <v>0.58699329830765001</v>
      </c>
      <c r="U328" s="39">
        <f t="shared" si="171"/>
        <v>0.4189140545085645</v>
      </c>
      <c r="V328" s="39">
        <f t="shared" si="171"/>
        <v>0.57590987589690334</v>
      </c>
      <c r="W328" s="39">
        <f t="shared" si="171"/>
        <v>0.22397378137126428</v>
      </c>
      <c r="X328" s="39">
        <f t="shared" si="171"/>
        <v>0.95126425854338392</v>
      </c>
    </row>
    <row r="329" spans="2:59" x14ac:dyDescent="0.25">
      <c r="C329" s="31" t="str">
        <f t="shared" si="168"/>
        <v>Total governance Expenses</v>
      </c>
      <c r="E329" t="str">
        <f>'2025 Data'!E328</f>
        <v>% of Branch Revenue</v>
      </c>
      <c r="G329" s="31">
        <f t="shared" si="171"/>
        <v>0</v>
      </c>
      <c r="H329" s="31">
        <f t="shared" si="171"/>
        <v>0</v>
      </c>
      <c r="I329" s="39">
        <f t="shared" si="171"/>
        <v>3.3977219584139143E-2</v>
      </c>
      <c r="J329" s="39">
        <f t="shared" si="171"/>
        <v>5.4855525222502685E-2</v>
      </c>
      <c r="K329" s="39">
        <f t="shared" si="171"/>
        <v>7.3926983998590684E-2</v>
      </c>
      <c r="L329" s="39">
        <f t="shared" si="171"/>
        <v>0.12139617430533778</v>
      </c>
      <c r="M329" s="39">
        <f t="shared" si="171"/>
        <v>0.12852673060018413</v>
      </c>
      <c r="N329" s="39">
        <f t="shared" si="171"/>
        <v>8.0120565815736525E-2</v>
      </c>
      <c r="O329" s="39">
        <f t="shared" si="171"/>
        <v>5.7378764419305131E-2</v>
      </c>
      <c r="P329" s="39">
        <f t="shared" si="171"/>
        <v>6.710022727145909E-2</v>
      </c>
      <c r="Q329" s="39">
        <f t="shared" si="171"/>
        <v>4.6571402974211251E-2</v>
      </c>
      <c r="R329" s="39">
        <f t="shared" si="171"/>
        <v>1.0815635449062012E-2</v>
      </c>
      <c r="S329" s="39">
        <f t="shared" si="171"/>
        <v>2.1653465174120947E-2</v>
      </c>
      <c r="T329" s="39">
        <f t="shared" si="171"/>
        <v>3.283959643999457E-3</v>
      </c>
      <c r="U329" s="39">
        <f t="shared" si="171"/>
        <v>0</v>
      </c>
      <c r="V329" s="39">
        <f t="shared" si="171"/>
        <v>1.6382030591599152E-3</v>
      </c>
      <c r="W329" s="39">
        <f t="shared" si="171"/>
        <v>0</v>
      </c>
      <c r="X329" s="39">
        <f t="shared" si="171"/>
        <v>0</v>
      </c>
    </row>
    <row r="330" spans="2:59" x14ac:dyDescent="0.25">
      <c r="C330" s="31" t="str">
        <f t="shared" si="168"/>
        <v>Total Marketing Expenses</v>
      </c>
      <c r="E330" t="str">
        <f>'2025 Data'!E329</f>
        <v>% of Branch Revenue</v>
      </c>
      <c r="G330" s="31">
        <f t="shared" si="171"/>
        <v>0</v>
      </c>
      <c r="H330" s="31">
        <f t="shared" si="171"/>
        <v>0</v>
      </c>
      <c r="I330" s="39">
        <f t="shared" si="171"/>
        <v>1.0930537283219829E-3</v>
      </c>
      <c r="J330" s="39">
        <f t="shared" si="171"/>
        <v>9.3914884115168205E-4</v>
      </c>
      <c r="K330" s="39">
        <f t="shared" si="171"/>
        <v>2.7455309061497225E-3</v>
      </c>
      <c r="L330" s="39">
        <f t="shared" si="171"/>
        <v>2.1771960292630769E-3</v>
      </c>
      <c r="M330" s="39">
        <f t="shared" si="171"/>
        <v>1.912305182606668E-4</v>
      </c>
      <c r="N330" s="39">
        <f t="shared" si="171"/>
        <v>2.1081863260524283E-3</v>
      </c>
      <c r="O330" s="39">
        <f t="shared" si="171"/>
        <v>1.7216776072331199E-3</v>
      </c>
      <c r="P330" s="39">
        <f t="shared" si="171"/>
        <v>6.1396756884225844E-4</v>
      </c>
      <c r="Q330" s="39">
        <f t="shared" si="171"/>
        <v>3.3346570333823941E-3</v>
      </c>
      <c r="R330" s="39">
        <f t="shared" si="171"/>
        <v>1.1845700500101675E-3</v>
      </c>
      <c r="S330" s="39">
        <f t="shared" si="171"/>
        <v>6.5013936411172047E-3</v>
      </c>
      <c r="T330" s="39">
        <f t="shared" si="171"/>
        <v>1.0514079735506027E-2</v>
      </c>
      <c r="U330" s="39">
        <f t="shared" si="171"/>
        <v>7.3472709769972456E-3</v>
      </c>
      <c r="V330" s="39">
        <f t="shared" si="171"/>
        <v>1.0250646091928379E-2</v>
      </c>
      <c r="W330" s="39">
        <f t="shared" si="171"/>
        <v>9.1231467063203754E-5</v>
      </c>
      <c r="X330" s="39">
        <f t="shared" si="171"/>
        <v>1.8266191495188634E-2</v>
      </c>
    </row>
    <row r="331" spans="2:59" x14ac:dyDescent="0.25">
      <c r="C331" s="31" t="str">
        <f t="shared" si="168"/>
        <v>Total Depreciation and amortization</v>
      </c>
      <c r="E331" t="str">
        <f>'2025 Data'!E330</f>
        <v>% of Branch Revenue</v>
      </c>
      <c r="G331" s="31">
        <f t="shared" si="171"/>
        <v>0</v>
      </c>
      <c r="H331" s="31">
        <f t="shared" si="171"/>
        <v>0</v>
      </c>
      <c r="I331" s="39">
        <f t="shared" si="171"/>
        <v>1.0167314077130351E-3</v>
      </c>
      <c r="J331" s="39">
        <f t="shared" si="171"/>
        <v>6.8249368958655653E-4</v>
      </c>
      <c r="K331" s="39">
        <f t="shared" si="171"/>
        <v>3.0479186312015057E-3</v>
      </c>
      <c r="L331" s="39">
        <f t="shared" si="171"/>
        <v>2.0032546639834762E-3</v>
      </c>
      <c r="M331" s="39">
        <f t="shared" si="171"/>
        <v>2.1383763814562E-3</v>
      </c>
      <c r="N331" s="39">
        <f t="shared" si="171"/>
        <v>4.279238824856659E-3</v>
      </c>
      <c r="O331" s="39">
        <f t="shared" si="171"/>
        <v>8.7152528959458394E-4</v>
      </c>
      <c r="P331" s="39">
        <f t="shared" si="171"/>
        <v>3.1429881791399297E-3</v>
      </c>
      <c r="Q331" s="39">
        <f t="shared" si="171"/>
        <v>4.1292066659850751E-3</v>
      </c>
      <c r="R331" s="39">
        <f t="shared" si="171"/>
        <v>4.6271173080870221E-3</v>
      </c>
      <c r="S331" s="39">
        <f t="shared" si="171"/>
        <v>7.6178437004818713E-3</v>
      </c>
      <c r="T331" s="39">
        <f t="shared" si="171"/>
        <v>8.1286694023338327E-3</v>
      </c>
      <c r="U331" s="39">
        <f t="shared" si="171"/>
        <v>5.087160958052804E-3</v>
      </c>
      <c r="V331" s="39">
        <f t="shared" si="171"/>
        <v>2.1380392900478447E-2</v>
      </c>
      <c r="W331" s="39">
        <f t="shared" si="171"/>
        <v>6.7694925741117349E-3</v>
      </c>
      <c r="X331" s="39">
        <f t="shared" si="171"/>
        <v>1.8189911676091873E-2</v>
      </c>
    </row>
    <row r="332" spans="2:59" x14ac:dyDescent="0.25">
      <c r="C332" s="31" t="str">
        <f>C286</f>
        <v>Total Admin expenses</v>
      </c>
      <c r="E332" t="str">
        <f>'2025 Data'!E331</f>
        <v>% of Branch Revenue</v>
      </c>
      <c r="G332" s="31">
        <f t="shared" ref="G332:X332" si="172">G286</f>
        <v>0</v>
      </c>
      <c r="H332" s="31">
        <f t="shared" si="172"/>
        <v>0</v>
      </c>
      <c r="I332" s="39">
        <f t="shared" si="172"/>
        <v>4.2114651168252519E-2</v>
      </c>
      <c r="J332" s="39">
        <f t="shared" si="172"/>
        <v>3.0181185414619591E-2</v>
      </c>
      <c r="K332" s="39">
        <f t="shared" si="172"/>
        <v>0.12158186634258501</v>
      </c>
      <c r="L332" s="39">
        <f t="shared" si="172"/>
        <v>9.5293487977386848E-2</v>
      </c>
      <c r="M332" s="39">
        <f t="shared" si="172"/>
        <v>6.6527128335405333E-2</v>
      </c>
      <c r="N332" s="39">
        <f t="shared" si="172"/>
        <v>0.11151151268322512</v>
      </c>
      <c r="O332" s="39">
        <f t="shared" si="172"/>
        <v>5.6819260024025917E-2</v>
      </c>
      <c r="P332" s="39">
        <f t="shared" si="172"/>
        <v>8.8265147966438501E-2</v>
      </c>
      <c r="Q332" s="39">
        <f t="shared" si="172"/>
        <v>0.15613763428934252</v>
      </c>
      <c r="R332" s="39">
        <f t="shared" si="172"/>
        <v>0.17678053877341685</v>
      </c>
      <c r="S332" s="39">
        <f t="shared" si="172"/>
        <v>0.15977351238664006</v>
      </c>
      <c r="T332" s="39">
        <f t="shared" si="172"/>
        <v>0.49905813139798644</v>
      </c>
      <c r="U332" s="39">
        <f t="shared" si="172"/>
        <v>0.27382179816593838</v>
      </c>
      <c r="V332" s="39">
        <f t="shared" si="172"/>
        <v>0.29845407896691639</v>
      </c>
      <c r="W332" s="39">
        <f t="shared" si="172"/>
        <v>0.11695847590947767</v>
      </c>
      <c r="X332" s="39">
        <f t="shared" si="172"/>
        <v>0.59474739284583589</v>
      </c>
    </row>
    <row r="333" spans="2:59" x14ac:dyDescent="0.25">
      <c r="C333" s="31">
        <f t="shared" si="168"/>
        <v>0</v>
      </c>
    </row>
  </sheetData>
  <conditionalFormatting sqref="I95:X95">
    <cfRule type="colorScale" priority="2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6:X96">
    <cfRule type="colorScale" priority="2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7:X97">
    <cfRule type="colorScale" priority="2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8:X98">
    <cfRule type="colorScale" priority="2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9:X99">
    <cfRule type="colorScale" priority="2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0:X100">
    <cfRule type="colorScale" priority="2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1:X101">
    <cfRule type="colorScale" priority="2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2:X102">
    <cfRule type="colorScale" priority="2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3:X103">
    <cfRule type="colorScale" priority="2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4:X104">
    <cfRule type="colorScale" priority="2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5:X105">
    <cfRule type="colorScale" priority="2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6:X106">
    <cfRule type="colorScale" priority="2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7:X107">
    <cfRule type="colorScale" priority="2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8:X108">
    <cfRule type="colorScale" priority="2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9:X109">
    <cfRule type="colorScale" priority="2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0:X110">
    <cfRule type="colorScale" priority="2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2:X112">
    <cfRule type="colorScale" priority="2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3:X113">
    <cfRule type="colorScale" priority="2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4:X114">
    <cfRule type="colorScale" priority="2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6:X116">
    <cfRule type="colorScale" priority="2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7:X117">
    <cfRule type="colorScale" priority="2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8:X118">
    <cfRule type="colorScale" priority="2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9:X119">
    <cfRule type="colorScale" priority="2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0:X120">
    <cfRule type="colorScale" priority="2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1:X121">
    <cfRule type="colorScale" priority="2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2:X122">
    <cfRule type="colorScale" priority="2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4:X124">
    <cfRule type="colorScale" priority="2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5:X125">
    <cfRule type="colorScale" priority="2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6:X126">
    <cfRule type="colorScale" priority="2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7:X127">
    <cfRule type="colorScale" priority="2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29:X129">
    <cfRule type="colorScale" priority="2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0:X130">
    <cfRule type="colorScale" priority="2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1:X131">
    <cfRule type="colorScale" priority="2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3:X133">
    <cfRule type="colorScale" priority="2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5:X135">
    <cfRule type="colorScale" priority="2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6:X136">
    <cfRule type="colorScale" priority="2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7:X137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8:X138">
    <cfRule type="colorScale" priority="2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9:X139">
    <cfRule type="colorScale" priority="2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0:X140">
    <cfRule type="colorScale" priority="2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2:X142">
    <cfRule type="colorScale" priority="2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4:X144">
    <cfRule type="colorScale" priority="2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8:X178">
    <cfRule type="colorScale" priority="2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3:I201">
    <cfRule type="colorScale" priority="2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83:J201">
    <cfRule type="colorScale" priority="2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2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83:K201">
    <cfRule type="colorScale" priority="2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83:L201">
    <cfRule type="colorScale" priority="2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3:M201">
    <cfRule type="colorScale" priority="2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83:N201">
    <cfRule type="colorScale" priority="2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83:O201">
    <cfRule type="colorScale" priority="2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83:P201">
    <cfRule type="colorScale" priority="2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83:Q201">
    <cfRule type="colorScale" priority="2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183:R201">
    <cfRule type="colorScale" priority="2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83:S201">
    <cfRule type="colorScale" priority="2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83:T201">
    <cfRule type="colorScale" priority="2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183:U201">
    <cfRule type="colorScale" priority="2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83:V201">
    <cfRule type="colorScale" priority="2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183:W201">
    <cfRule type="colorScale" priority="2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183:X201">
    <cfRule type="colorScale" priority="2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04:I209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04:J209">
    <cfRule type="colorScale" priority="2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04:K209">
    <cfRule type="colorScale" priority="2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04:L209">
    <cfRule type="colorScale" priority="2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4:M209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04:N209">
    <cfRule type="colorScale" priority="2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4:O209">
    <cfRule type="colorScale" priority="2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04:P209">
    <cfRule type="colorScale" priority="2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04:Q209">
    <cfRule type="colorScale" priority="2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04:R209">
    <cfRule type="colorScale" priority="2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04:S209">
    <cfRule type="colorScale" priority="2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04:T209">
    <cfRule type="colorScale" priority="2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04:U209">
    <cfRule type="colorScale" priority="2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04:V209">
    <cfRule type="colorScale" priority="2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4:W209">
    <cfRule type="colorScale" priority="1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04:X209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2:I214">
    <cfRule type="colorScale" priority="1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2:J214">
    <cfRule type="colorScale" priority="1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2:K214">
    <cfRule type="colorScale" priority="1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2:L214">
    <cfRule type="colorScale" priority="1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2:M214">
    <cfRule type="colorScale" priority="1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2:N214">
    <cfRule type="colorScale" priority="1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2:O214">
    <cfRule type="colorScale" priority="1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12:P214">
    <cfRule type="colorScale" priority="1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2:Q214">
    <cfRule type="colorScale" priority="1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2:R214">
    <cfRule type="colorScale" priority="1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4:J227">
    <cfRule type="colorScale" priority="1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4:K227">
    <cfRule type="colorScale" priority="1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4:L227">
    <cfRule type="colorScale" priority="1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4:M227">
    <cfRule type="colorScale" priority="1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4:N227">
    <cfRule type="colorScale" priority="1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4:O227">
    <cfRule type="colorScale" priority="1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24:P227">
    <cfRule type="colorScale" priority="1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4:Q227">
    <cfRule type="colorScale" priority="1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4:R227">
    <cfRule type="colorScale" priority="1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4:S227">
    <cfRule type="colorScale" priority="1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4:T227">
    <cfRule type="colorScale" priority="1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4:U227">
    <cfRule type="colorScale" priority="1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4:V227">
    <cfRule type="colorScale" priority="1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4:W227">
    <cfRule type="colorScale" priority="1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4:X227">
    <cfRule type="colorScale" priority="1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23:I227">
    <cfRule type="colorScale" priority="1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23">
    <cfRule type="colorScale" priority="1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23">
    <cfRule type="colorScale" priority="1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3">
    <cfRule type="colorScale" priority="1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23">
    <cfRule type="colorScale" priority="1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23">
    <cfRule type="colorScale" priority="1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23">
    <cfRule type="colorScale" priority="1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23">
    <cfRule type="colorScale" priority="1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23">
    <cfRule type="colorScale" priority="1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23">
    <cfRule type="colorScale" priority="1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23">
    <cfRule type="colorScale" priority="1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23">
    <cfRule type="colorScale" priority="1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23">
    <cfRule type="colorScale" priority="1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2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23">
    <cfRule type="colorScale" priority="1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23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9:X239 I236:I240">
    <cfRule type="colorScale" priority="1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36:V238 V240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36:W238 W240">
    <cfRule type="colorScale" priority="1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36:X238 X240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36:J240">
    <cfRule type="colorScale" priority="1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36:K240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36:L240">
    <cfRule type="colorScale" priority="1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36:M240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36:N240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36:O240">
    <cfRule type="colorScale" priority="1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36:P240">
    <cfRule type="colorScale" priority="1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36:Q240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36:R240">
    <cfRule type="colorScale" priority="1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36:S240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36:T240">
    <cfRule type="colorScale" priority="1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36:U240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0:I271">
    <cfRule type="colorScale" priority="1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0:J271">
    <cfRule type="colorScale" priority="1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0:K271">
    <cfRule type="colorScale" priority="1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0:L271">
    <cfRule type="colorScale" priority="1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0:M271">
    <cfRule type="colorScale" priority="1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70:N271">
    <cfRule type="colorScale" priority="1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0:O271">
    <cfRule type="colorScale" priority="1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70:P271">
    <cfRule type="colorScale" priority="1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70:Q271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0:R271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0:S271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70:T271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70:U271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70:V271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70:W271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70:X271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49:I252">
    <cfRule type="colorScale" priority="1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49:J252">
    <cfRule type="colorScale" priority="1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49:K252">
    <cfRule type="colorScale" priority="1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49:L252">
    <cfRule type="colorScale" priority="1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49:M252">
    <cfRule type="colorScale" priority="1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49:N252">
    <cfRule type="colorScale" priority="1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49:O252">
    <cfRule type="colorScale" priority="1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49:P252">
    <cfRule type="colorScale" priority="1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49:Q252">
    <cfRule type="colorScale" priority="1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49:R252">
    <cfRule type="colorScale" priority="1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49:S252">
    <cfRule type="colorScale" priority="1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49:T252">
    <cfRule type="colorScale" priority="1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49:U252">
    <cfRule type="colorScale" priority="1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49:V252">
    <cfRule type="colorScale" priority="1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49:W252">
    <cfRule type="colorScale" priority="1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49:X252">
    <cfRule type="colorScale" priority="1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9:I261">
    <cfRule type="colorScale" priority="10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59:J261">
    <cfRule type="colorScale" priority="10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59:K261">
    <cfRule type="colorScale" priority="10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59:L261">
    <cfRule type="colorScale" priority="10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9:M261">
    <cfRule type="colorScale" priority="10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59:N261">
    <cfRule type="colorScale" priority="10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59:O261">
    <cfRule type="colorScale" priority="10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59:P261">
    <cfRule type="colorScale" priority="10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59:Q261"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59:R261">
    <cfRule type="colorScale" priority="9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59:S261">
    <cfRule type="colorScale" priority="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59:T261">
    <cfRule type="colorScale" priority="9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59:U261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59:V261">
    <cfRule type="colorScale" priority="9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59:W261">
    <cfRule type="colorScale" priority="9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59:X261">
    <cfRule type="colorScale" priority="9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78:I286">
    <cfRule type="colorScale" priority="9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78:J286">
    <cfRule type="colorScale" priority="9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78:K286">
    <cfRule type="colorScale" priority="9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78:L286"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78:M286"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78:N286">
    <cfRule type="colorScale" priority="8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78:O286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78:P286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78:Q286">
    <cfRule type="colorScale" priority="8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78:R286">
    <cfRule type="colorScale" priority="8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78:S286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78:T286"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78:U286">
    <cfRule type="colorScale" priority="8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78:V286">
    <cfRule type="colorScale" priority="7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78:W286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78:X286">
    <cfRule type="colorScale" priority="7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6:X146">
    <cfRule type="colorScale" priority="7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7:X147">
    <cfRule type="colorScale" priority="7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8:X148">
    <cfRule type="colorScale" priority="7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9:X149">
    <cfRule type="colorScale" priority="7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1:X151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2:X152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0:X160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3:X153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4:X154">
    <cfRule type="colorScale" priority="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5:X155">
    <cfRule type="colorScale" priority="6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9:X159">
    <cfRule type="colorScale" priority="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9:X169">
    <cfRule type="colorScale" priority="6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6:X176">
    <cfRule type="colorScale" priority="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2:X172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3:X173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0:X170">
    <cfRule type="colorScale" priority="6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74:X174">
    <cfRule type="colorScale" priority="6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8:X168">
    <cfRule type="colorScale" priority="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6:X166">
    <cfRule type="colorScale" priority="5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4:X164">
    <cfRule type="colorScale" priority="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2:X162">
    <cfRule type="colorScale" priority="5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3:X163">
    <cfRule type="colorScale" priority="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61:X161"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57:X157">
    <cfRule type="colorScale" priority="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7:I218"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17:J218">
    <cfRule type="colorScale" priority="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17:K218"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17:L218">
    <cfRule type="colorScale" priority="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7:M218">
    <cfRule type="colorScale" priority="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7:N218">
    <cfRule type="colorScale" priority="4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7:O218">
    <cfRule type="colorScale" priority="4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17:P218">
    <cfRule type="colorScale" priority="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7:Q218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217:R218">
    <cfRule type="colorScale" priority="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7:S218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7:T218">
    <cfRule type="colorScale" priority="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7:U218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7:V218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7:W218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7:X218">
    <cfRule type="colorScale" priority="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12:S214">
    <cfRule type="colorScale" priority="3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212:T214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12:U214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12:V214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2:W21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12:X21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0:X290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1:X291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3:X29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5:X29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6:X29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7:X297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8:X298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99:X29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3:X303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5:X305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6:X306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7:X307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8:X30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0:X310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2:X31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4:X3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6:X316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7:X31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18:X31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0:X3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4:X324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5:X32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7:X327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8:X328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29:X3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0:X33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1:X33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32:X3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BG90"/>
  <sheetViews>
    <sheetView topLeftCell="B1" zoomScale="30" zoomScaleNormal="30" workbookViewId="0">
      <pane ySplit="3" topLeftCell="A4" activePane="bottomLeft" state="frozen"/>
      <selection pane="bottomLeft" activeCell="E1" sqref="E1"/>
    </sheetView>
  </sheetViews>
  <sheetFormatPr defaultColWidth="0" defaultRowHeight="15" x14ac:dyDescent="0.25"/>
  <cols>
    <col min="1" max="2" width="1.7109375" customWidth="1"/>
    <col min="3" max="3" width="1.28515625" customWidth="1"/>
    <col min="4" max="4" width="71.5703125" bestFit="1" customWidth="1"/>
    <col min="5" max="5" width="5" bestFit="1" customWidth="1"/>
    <col min="6" max="6" width="16.42578125" bestFit="1" customWidth="1"/>
    <col min="7" max="7" width="16.28515625" bestFit="1" customWidth="1"/>
    <col min="8" max="8" width="20.140625" bestFit="1" customWidth="1"/>
    <col min="9" max="10" width="15.5703125" hidden="1" customWidth="1"/>
    <col min="11" max="12" width="15.140625" hidden="1" customWidth="1"/>
    <col min="13" max="13" width="15.5703125" hidden="1" customWidth="1"/>
    <col min="14" max="14" width="15.140625" hidden="1" customWidth="1"/>
    <col min="15" max="15" width="15.5703125" hidden="1" customWidth="1"/>
    <col min="16" max="22" width="15.140625" hidden="1" customWidth="1"/>
    <col min="23" max="23" width="15.5703125" hidden="1" customWidth="1"/>
    <col min="24" max="24" width="15.140625" hidden="1" customWidth="1"/>
    <col min="25" max="59" width="0" hidden="1" customWidth="1"/>
    <col min="60" max="16384" width="9.140625" hidden="1"/>
  </cols>
  <sheetData>
    <row r="2" spans="1:59" x14ac:dyDescent="0.25">
      <c r="B2" s="42"/>
      <c r="C2" s="42"/>
      <c r="D2" s="42" t="s">
        <v>297</v>
      </c>
    </row>
    <row r="3" spans="1:59" x14ac:dyDescent="0.25">
      <c r="A3" s="10"/>
      <c r="B3" s="9"/>
      <c r="C3" s="9"/>
      <c r="D3" s="27">
        <v>2023</v>
      </c>
      <c r="E3" s="9"/>
      <c r="F3" s="68" t="s">
        <v>16</v>
      </c>
      <c r="G3" s="68" t="s">
        <v>281</v>
      </c>
      <c r="H3" s="68" t="s">
        <v>282</v>
      </c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</row>
    <row r="4" spans="1:59" x14ac:dyDescent="0.25">
      <c r="A4" s="10"/>
      <c r="B4" s="10"/>
      <c r="C4" s="10"/>
      <c r="D4" s="10"/>
      <c r="E4" s="10"/>
      <c r="F4" s="10"/>
      <c r="G4" s="10"/>
      <c r="H4" s="10"/>
    </row>
    <row r="5" spans="1:59" x14ac:dyDescent="0.25">
      <c r="A5" s="10"/>
      <c r="B5" s="89"/>
      <c r="C5" s="27" t="s">
        <v>82</v>
      </c>
      <c r="D5" s="9"/>
      <c r="E5" s="9"/>
      <c r="F5" s="9"/>
      <c r="G5" s="9"/>
      <c r="H5" s="9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</row>
    <row r="6" spans="1:59" x14ac:dyDescent="0.25">
      <c r="D6" t="s">
        <v>17</v>
      </c>
      <c r="E6" t="s">
        <v>37</v>
      </c>
      <c r="F6" s="127">
        <v>39201557</v>
      </c>
      <c r="G6" s="21"/>
      <c r="H6" s="13"/>
    </row>
    <row r="7" spans="1:59" x14ac:dyDescent="0.25">
      <c r="D7" t="s">
        <v>18</v>
      </c>
      <c r="E7" t="s">
        <v>37</v>
      </c>
      <c r="F7" s="127">
        <v>57246553</v>
      </c>
      <c r="G7" s="21"/>
      <c r="H7" s="13"/>
    </row>
    <row r="8" spans="1:59" x14ac:dyDescent="0.25">
      <c r="D8" t="s">
        <v>20</v>
      </c>
      <c r="E8" t="s">
        <v>37</v>
      </c>
      <c r="F8" s="127">
        <v>48782578</v>
      </c>
      <c r="G8" s="21"/>
      <c r="H8" s="13"/>
    </row>
    <row r="9" spans="1:59" x14ac:dyDescent="0.25">
      <c r="D9" t="s">
        <v>19</v>
      </c>
      <c r="E9" t="s">
        <v>37</v>
      </c>
      <c r="F9" s="127">
        <v>194424006</v>
      </c>
      <c r="G9" s="21"/>
      <c r="H9" s="13"/>
    </row>
    <row r="10" spans="1:59" x14ac:dyDescent="0.25">
      <c r="D10" t="s">
        <v>36</v>
      </c>
      <c r="E10" t="s">
        <v>37</v>
      </c>
      <c r="F10" s="127">
        <v>18038056</v>
      </c>
      <c r="G10" s="21"/>
      <c r="H10" s="13"/>
    </row>
    <row r="11" spans="1:59" x14ac:dyDescent="0.25">
      <c r="D11" t="s">
        <v>21</v>
      </c>
      <c r="E11" t="s">
        <v>37</v>
      </c>
      <c r="F11" s="127">
        <v>9838194</v>
      </c>
      <c r="G11" s="21"/>
      <c r="H11" s="13"/>
    </row>
    <row r="12" spans="1:59" x14ac:dyDescent="0.25">
      <c r="D12" t="s">
        <v>271</v>
      </c>
      <c r="E12" t="s">
        <v>37</v>
      </c>
      <c r="F12" s="126">
        <f>-13448+26752520</f>
        <v>26739072</v>
      </c>
      <c r="G12" s="21"/>
      <c r="H12" s="13"/>
    </row>
    <row r="13" spans="1:59" x14ac:dyDescent="0.25">
      <c r="D13" t="s">
        <v>23</v>
      </c>
      <c r="E13" t="s">
        <v>37</v>
      </c>
      <c r="F13" s="127">
        <v>2437563</v>
      </c>
      <c r="G13" s="21"/>
      <c r="H13" s="13"/>
    </row>
    <row r="14" spans="1:59" x14ac:dyDescent="0.25">
      <c r="D14" t="s">
        <v>273</v>
      </c>
      <c r="E14" t="s">
        <v>37</v>
      </c>
      <c r="F14" s="126">
        <f>7844762+2528881+0+57760287+1596606</f>
        <v>69730536</v>
      </c>
      <c r="G14" s="21"/>
      <c r="H14" s="13"/>
    </row>
    <row r="15" spans="1:59" x14ac:dyDescent="0.25">
      <c r="D15" t="s">
        <v>25</v>
      </c>
      <c r="E15" t="s">
        <v>37</v>
      </c>
      <c r="F15" s="127">
        <v>2727798</v>
      </c>
      <c r="G15" s="21"/>
      <c r="H15" s="13"/>
    </row>
    <row r="16" spans="1:59" x14ac:dyDescent="0.25">
      <c r="D16" t="s">
        <v>26</v>
      </c>
      <c r="E16" t="s">
        <v>37</v>
      </c>
      <c r="F16" s="127">
        <v>7995144</v>
      </c>
      <c r="G16" s="21"/>
      <c r="H16" s="13"/>
    </row>
    <row r="17" spans="2:8" x14ac:dyDescent="0.25">
      <c r="D17" t="s">
        <v>274</v>
      </c>
      <c r="E17" t="s">
        <v>37</v>
      </c>
      <c r="F17" s="126">
        <f>77465+15641024+25232</f>
        <v>15743721</v>
      </c>
      <c r="G17" s="21"/>
      <c r="H17" s="13"/>
    </row>
    <row r="18" spans="2:8" x14ac:dyDescent="0.25">
      <c r="D18" t="s">
        <v>28</v>
      </c>
      <c r="E18" t="s">
        <v>37</v>
      </c>
      <c r="F18" s="127">
        <v>13524540</v>
      </c>
      <c r="G18" s="21"/>
      <c r="H18" s="13"/>
    </row>
    <row r="19" spans="2:8" x14ac:dyDescent="0.25">
      <c r="D19" t="s">
        <v>29</v>
      </c>
      <c r="E19" t="s">
        <v>37</v>
      </c>
      <c r="F19" s="127">
        <v>93513320</v>
      </c>
      <c r="G19" s="21"/>
      <c r="H19" s="13"/>
    </row>
    <row r="20" spans="2:8" x14ac:dyDescent="0.25">
      <c r="D20" t="s">
        <v>272</v>
      </c>
      <c r="E20" t="s">
        <v>37</v>
      </c>
      <c r="F20" s="127">
        <v>0</v>
      </c>
      <c r="G20" s="21"/>
      <c r="H20" s="13"/>
    </row>
    <row r="21" spans="2:8" x14ac:dyDescent="0.25">
      <c r="D21" t="s">
        <v>31</v>
      </c>
      <c r="E21" t="s">
        <v>37</v>
      </c>
      <c r="F21" s="127">
        <v>19224063</v>
      </c>
      <c r="G21" s="21"/>
      <c r="H21" s="13"/>
    </row>
    <row r="22" spans="2:8" x14ac:dyDescent="0.25">
      <c r="D22" t="s">
        <v>32</v>
      </c>
      <c r="E22" t="s">
        <v>37</v>
      </c>
      <c r="F22" s="127">
        <v>0</v>
      </c>
      <c r="G22" s="21"/>
      <c r="H22" s="13"/>
    </row>
    <row r="23" spans="2:8" x14ac:dyDescent="0.25">
      <c r="D23" t="s">
        <v>33</v>
      </c>
      <c r="E23" t="s">
        <v>37</v>
      </c>
      <c r="F23" s="127">
        <v>0</v>
      </c>
      <c r="G23" s="21"/>
      <c r="H23" s="13"/>
    </row>
    <row r="24" spans="2:8" x14ac:dyDescent="0.25">
      <c r="D24" t="s">
        <v>34</v>
      </c>
      <c r="E24" t="s">
        <v>37</v>
      </c>
      <c r="F24" s="127">
        <v>6510025</v>
      </c>
      <c r="G24" s="21"/>
      <c r="H24" s="13"/>
    </row>
    <row r="25" spans="2:8" x14ac:dyDescent="0.25">
      <c r="B25" t="s">
        <v>51</v>
      </c>
      <c r="D25" s="1" t="s">
        <v>35</v>
      </c>
      <c r="E25" s="2" t="s">
        <v>37</v>
      </c>
      <c r="F25" s="14">
        <f>SUM(F6:F24)</f>
        <v>625676726</v>
      </c>
      <c r="G25" s="45">
        <f>H25-F25</f>
        <v>20109</v>
      </c>
      <c r="H25" s="28">
        <v>625696835</v>
      </c>
    </row>
    <row r="26" spans="2:8" x14ac:dyDescent="0.25">
      <c r="F26" s="15"/>
      <c r="G26" s="22"/>
      <c r="H26" s="15"/>
    </row>
    <row r="27" spans="2:8" x14ac:dyDescent="0.25">
      <c r="D27" t="s">
        <v>38</v>
      </c>
      <c r="E27" t="s">
        <v>37</v>
      </c>
      <c r="F27" s="127">
        <v>4903000</v>
      </c>
      <c r="G27" s="21"/>
      <c r="H27" s="13"/>
    </row>
    <row r="28" spans="2:8" x14ac:dyDescent="0.25">
      <c r="D28" t="s">
        <v>39</v>
      </c>
      <c r="E28" t="s">
        <v>37</v>
      </c>
      <c r="F28" s="127">
        <v>452356</v>
      </c>
      <c r="G28" s="21"/>
      <c r="H28" s="13"/>
    </row>
    <row r="29" spans="2:8" x14ac:dyDescent="0.25">
      <c r="D29" t="s">
        <v>40</v>
      </c>
      <c r="E29" t="s">
        <v>37</v>
      </c>
      <c r="F29" s="127">
        <v>30568905</v>
      </c>
      <c r="G29" s="21"/>
      <c r="H29" s="13"/>
    </row>
    <row r="30" spans="2:8" x14ac:dyDescent="0.25">
      <c r="D30" t="s">
        <v>41</v>
      </c>
      <c r="E30" t="s">
        <v>37</v>
      </c>
      <c r="F30" s="127">
        <v>3959916</v>
      </c>
      <c r="G30" s="21"/>
      <c r="H30" s="13"/>
    </row>
    <row r="31" spans="2:8" x14ac:dyDescent="0.25">
      <c r="D31" t="s">
        <v>42</v>
      </c>
      <c r="E31" t="s">
        <v>37</v>
      </c>
      <c r="F31" s="127">
        <v>167120</v>
      </c>
      <c r="G31" s="21"/>
      <c r="H31" s="13"/>
    </row>
    <row r="32" spans="2:8" x14ac:dyDescent="0.25">
      <c r="D32" t="s">
        <v>43</v>
      </c>
      <c r="E32" t="s">
        <v>37</v>
      </c>
      <c r="F32" s="127">
        <v>370263</v>
      </c>
      <c r="G32" s="21"/>
      <c r="H32" s="13"/>
    </row>
    <row r="33" spans="2:8" x14ac:dyDescent="0.25">
      <c r="B33" t="s">
        <v>51</v>
      </c>
      <c r="D33" s="1" t="s">
        <v>44</v>
      </c>
      <c r="E33" s="1" t="s">
        <v>37</v>
      </c>
      <c r="F33" s="14">
        <f>SUM(F27:F32)</f>
        <v>40421560</v>
      </c>
      <c r="G33" s="23"/>
      <c r="H33" s="28">
        <v>40421560</v>
      </c>
    </row>
    <row r="34" spans="2:8" x14ac:dyDescent="0.25">
      <c r="F34" s="15"/>
      <c r="G34" s="21"/>
      <c r="H34" s="15"/>
    </row>
    <row r="35" spans="2:8" x14ac:dyDescent="0.25">
      <c r="D35" t="s">
        <v>45</v>
      </c>
      <c r="E35" t="s">
        <v>37</v>
      </c>
      <c r="F35" s="127">
        <v>12759332</v>
      </c>
      <c r="G35" s="21"/>
      <c r="H35" s="13"/>
    </row>
    <row r="36" spans="2:8" x14ac:dyDescent="0.25">
      <c r="D36" t="s">
        <v>46</v>
      </c>
      <c r="E36" t="s">
        <v>37</v>
      </c>
      <c r="F36" s="127">
        <v>231170</v>
      </c>
      <c r="G36" s="21"/>
      <c r="H36" s="13"/>
    </row>
    <row r="37" spans="2:8" x14ac:dyDescent="0.25">
      <c r="D37" t="s">
        <v>275</v>
      </c>
      <c r="E37" t="s">
        <v>37</v>
      </c>
      <c r="F37" s="127">
        <f>10399992</f>
        <v>10399992</v>
      </c>
      <c r="G37" s="22">
        <v>0</v>
      </c>
      <c r="H37" s="13"/>
    </row>
    <row r="38" spans="2:8" x14ac:dyDescent="0.25">
      <c r="D38" s="71" t="s">
        <v>276</v>
      </c>
      <c r="E38" t="s">
        <v>37</v>
      </c>
      <c r="F38" s="127">
        <v>12415</v>
      </c>
      <c r="G38" s="22"/>
      <c r="H38" s="13"/>
    </row>
    <row r="39" spans="2:8" x14ac:dyDescent="0.25">
      <c r="D39" s="1" t="s">
        <v>47</v>
      </c>
      <c r="E39" s="1" t="s">
        <v>37</v>
      </c>
      <c r="F39" s="14">
        <f>SUM(F35:F38)</f>
        <v>23402909</v>
      </c>
      <c r="G39" s="24"/>
      <c r="H39" s="28">
        <v>23402909</v>
      </c>
    </row>
    <row r="40" spans="2:8" x14ac:dyDescent="0.25">
      <c r="F40" s="16"/>
      <c r="G40" s="21"/>
      <c r="H40" s="16"/>
    </row>
    <row r="41" spans="2:8" x14ac:dyDescent="0.25">
      <c r="D41" t="s">
        <v>48</v>
      </c>
      <c r="E41" t="s">
        <v>37</v>
      </c>
      <c r="F41" s="127">
        <v>48045587</v>
      </c>
      <c r="G41" s="22">
        <v>0</v>
      </c>
      <c r="H41" s="13"/>
    </row>
    <row r="42" spans="2:8" x14ac:dyDescent="0.25">
      <c r="B42" t="s">
        <v>51</v>
      </c>
      <c r="D42" t="s">
        <v>49</v>
      </c>
      <c r="E42" t="s">
        <v>37</v>
      </c>
      <c r="F42" s="127">
        <v>16043890</v>
      </c>
      <c r="G42" s="22">
        <v>0</v>
      </c>
      <c r="H42" s="13"/>
    </row>
    <row r="43" spans="2:8" x14ac:dyDescent="0.25">
      <c r="D43" s="1" t="s">
        <v>50</v>
      </c>
      <c r="E43" s="1" t="s">
        <v>37</v>
      </c>
      <c r="F43" s="14">
        <f>SUM(F41:F42)</f>
        <v>64089477</v>
      </c>
      <c r="G43" s="24"/>
      <c r="H43" s="28">
        <v>64089477</v>
      </c>
    </row>
    <row r="44" spans="2:8" x14ac:dyDescent="0.25">
      <c r="C44" s="18"/>
      <c r="D44" s="18"/>
      <c r="E44" s="18"/>
      <c r="F44" s="16"/>
      <c r="G44" s="33"/>
      <c r="H44" s="16"/>
    </row>
    <row r="45" spans="2:8" x14ac:dyDescent="0.25">
      <c r="D45" s="18" t="s">
        <v>86</v>
      </c>
      <c r="E45" s="18" t="s">
        <v>37</v>
      </c>
      <c r="F45" s="16">
        <f>F39+F43</f>
        <v>87492386</v>
      </c>
      <c r="G45" s="35"/>
      <c r="H45" s="17">
        <f>H39+H43</f>
        <v>87492386</v>
      </c>
    </row>
    <row r="46" spans="2:8" x14ac:dyDescent="0.25">
      <c r="F46" s="15"/>
      <c r="G46" s="21"/>
      <c r="H46" s="32"/>
    </row>
    <row r="47" spans="2:8" x14ac:dyDescent="0.25">
      <c r="D47" t="s">
        <v>53</v>
      </c>
      <c r="E47" t="s">
        <v>37</v>
      </c>
      <c r="F47" s="127">
        <v>11623361</v>
      </c>
      <c r="G47" s="21"/>
      <c r="H47" s="13"/>
    </row>
    <row r="48" spans="2:8" x14ac:dyDescent="0.25">
      <c r="D48" t="s">
        <v>54</v>
      </c>
      <c r="E48" t="s">
        <v>37</v>
      </c>
      <c r="F48" s="127">
        <v>26994820</v>
      </c>
      <c r="G48" s="21"/>
      <c r="H48" s="13"/>
    </row>
    <row r="49" spans="4:8" x14ac:dyDescent="0.25">
      <c r="D49" t="s">
        <v>56</v>
      </c>
      <c r="E49" t="s">
        <v>37</v>
      </c>
      <c r="F49" s="126">
        <f>16226555+1532021</f>
        <v>17758576</v>
      </c>
      <c r="G49" s="21"/>
      <c r="H49" s="13"/>
    </row>
    <row r="50" spans="4:8" x14ac:dyDescent="0.25">
      <c r="D50" t="s">
        <v>55</v>
      </c>
      <c r="E50" t="s">
        <v>37</v>
      </c>
      <c r="F50" s="127">
        <f>14343910</f>
        <v>14343910</v>
      </c>
      <c r="G50" s="21"/>
      <c r="H50" s="13"/>
    </row>
    <row r="51" spans="4:8" x14ac:dyDescent="0.25">
      <c r="D51" t="s">
        <v>52</v>
      </c>
      <c r="E51" t="s">
        <v>37</v>
      </c>
      <c r="F51" s="126">
        <f>93912901-SUM(F47:F50)</f>
        <v>23192234</v>
      </c>
      <c r="G51" s="22">
        <v>0</v>
      </c>
      <c r="H51" s="13"/>
    </row>
    <row r="52" spans="4:8" x14ac:dyDescent="0.25">
      <c r="D52" s="1" t="s">
        <v>57</v>
      </c>
      <c r="E52" s="1" t="s">
        <v>37</v>
      </c>
      <c r="F52" s="14">
        <f>SUM(F47:F51)</f>
        <v>93912901</v>
      </c>
      <c r="G52" s="23"/>
      <c r="H52" s="28">
        <f>F52+SUM(G47:G51)</f>
        <v>93912901</v>
      </c>
    </row>
    <row r="53" spans="4:8" x14ac:dyDescent="0.25">
      <c r="D53" s="18"/>
      <c r="E53" s="18"/>
      <c r="F53" s="16"/>
      <c r="G53" s="21"/>
      <c r="H53" s="16"/>
    </row>
    <row r="54" spans="4:8" x14ac:dyDescent="0.25">
      <c r="D54" s="18" t="s">
        <v>85</v>
      </c>
      <c r="E54" s="18" t="s">
        <v>37</v>
      </c>
      <c r="F54" s="16">
        <v>0</v>
      </c>
      <c r="G54" s="22"/>
      <c r="H54" s="16"/>
    </row>
    <row r="55" spans="4:8" ht="15.75" thickBot="1" x14ac:dyDescent="0.3">
      <c r="F55" s="15"/>
      <c r="G55" s="21"/>
      <c r="H55" s="15"/>
    </row>
    <row r="56" spans="4:8" ht="15.75" thickBot="1" x14ac:dyDescent="0.3">
      <c r="D56" s="6" t="s">
        <v>58</v>
      </c>
      <c r="E56" s="7" t="s">
        <v>37</v>
      </c>
      <c r="F56" s="25">
        <f>F25+F33+F39+F43+F52+F54</f>
        <v>847503573</v>
      </c>
      <c r="G56" s="29">
        <f>SUM(G6:G55)</f>
        <v>20109</v>
      </c>
      <c r="H56" s="25">
        <f>F56+G56</f>
        <v>847523682</v>
      </c>
    </row>
    <row r="57" spans="4:8" x14ac:dyDescent="0.25">
      <c r="F57" s="15"/>
      <c r="G57" s="129"/>
      <c r="H57" s="128"/>
    </row>
    <row r="58" spans="4:8" x14ac:dyDescent="0.25">
      <c r="D58" t="s">
        <v>59</v>
      </c>
      <c r="E58" t="s">
        <v>37</v>
      </c>
      <c r="F58" s="127">
        <v>-117780391</v>
      </c>
      <c r="G58" s="21"/>
      <c r="H58" s="13"/>
    </row>
    <row r="59" spans="4:8" x14ac:dyDescent="0.25">
      <c r="D59" t="s">
        <v>60</v>
      </c>
      <c r="E59" t="s">
        <v>37</v>
      </c>
      <c r="F59" s="127">
        <v>-10015942</v>
      </c>
      <c r="G59" s="21"/>
      <c r="H59" s="13"/>
    </row>
    <row r="60" spans="4:8" x14ac:dyDescent="0.25">
      <c r="D60" t="s">
        <v>61</v>
      </c>
      <c r="E60" t="s">
        <v>37</v>
      </c>
      <c r="F60" s="13">
        <f>SUM(I59:X59)</f>
        <v>0</v>
      </c>
      <c r="G60" s="21"/>
      <c r="H60" s="13"/>
    </row>
    <row r="61" spans="4:8" x14ac:dyDescent="0.25">
      <c r="D61" s="1" t="s">
        <v>62</v>
      </c>
      <c r="E61" s="2" t="s">
        <v>37</v>
      </c>
      <c r="F61" s="14">
        <f>SUM(F58:F60)</f>
        <v>-127796333</v>
      </c>
      <c r="G61" s="23"/>
      <c r="H61" s="14"/>
    </row>
    <row r="62" spans="4:8" x14ac:dyDescent="0.25">
      <c r="F62" s="15"/>
      <c r="G62" s="21"/>
      <c r="H62" s="15"/>
    </row>
    <row r="63" spans="4:8" x14ac:dyDescent="0.25">
      <c r="D63" t="s">
        <v>63</v>
      </c>
      <c r="E63" t="s">
        <v>37</v>
      </c>
      <c r="F63" s="127">
        <v>-17576878</v>
      </c>
      <c r="G63" s="21"/>
      <c r="H63" s="13"/>
    </row>
    <row r="64" spans="4:8" x14ac:dyDescent="0.25">
      <c r="D64" t="s">
        <v>64</v>
      </c>
      <c r="E64" t="s">
        <v>37</v>
      </c>
      <c r="F64" s="127">
        <v>0</v>
      </c>
      <c r="G64" s="21"/>
      <c r="H64" s="13"/>
    </row>
    <row r="65" spans="4:8" x14ac:dyDescent="0.25">
      <c r="D65" t="s">
        <v>67</v>
      </c>
      <c r="E65" t="s">
        <v>37</v>
      </c>
      <c r="F65" s="127">
        <v>0</v>
      </c>
      <c r="G65" s="21"/>
      <c r="H65" s="13"/>
    </row>
    <row r="66" spans="4:8" x14ac:dyDescent="0.25">
      <c r="D66" t="s">
        <v>65</v>
      </c>
      <c r="E66" t="s">
        <v>37</v>
      </c>
      <c r="F66" s="127">
        <f>-756858-2320</f>
        <v>-759178</v>
      </c>
      <c r="G66" s="22">
        <v>0</v>
      </c>
      <c r="H66" s="13"/>
    </row>
    <row r="67" spans="4:8" x14ac:dyDescent="0.25">
      <c r="D67" s="1" t="s">
        <v>66</v>
      </c>
      <c r="E67" s="1" t="s">
        <v>37</v>
      </c>
      <c r="F67" s="14">
        <f>SUM(F63:F66)</f>
        <v>-18336056</v>
      </c>
      <c r="G67" s="24">
        <f>H67-F67</f>
        <v>-11</v>
      </c>
      <c r="H67" s="28">
        <v>-18336067</v>
      </c>
    </row>
    <row r="68" spans="4:8" x14ac:dyDescent="0.25">
      <c r="F68" s="15"/>
      <c r="G68" s="21"/>
      <c r="H68" s="15"/>
    </row>
    <row r="69" spans="4:8" x14ac:dyDescent="0.25">
      <c r="D69" t="s">
        <v>65</v>
      </c>
      <c r="E69" t="s">
        <v>37</v>
      </c>
      <c r="F69" s="13">
        <v>0</v>
      </c>
      <c r="G69" s="21"/>
      <c r="H69" s="13"/>
    </row>
    <row r="70" spans="4:8" x14ac:dyDescent="0.25">
      <c r="F70" s="15"/>
      <c r="G70" s="21"/>
      <c r="H70" s="15"/>
    </row>
    <row r="71" spans="4:8" x14ac:dyDescent="0.25">
      <c r="D71" t="s">
        <v>68</v>
      </c>
      <c r="E71" t="s">
        <v>37</v>
      </c>
      <c r="F71" s="127">
        <v>-130646575</v>
      </c>
      <c r="G71" s="22">
        <v>0</v>
      </c>
      <c r="H71" s="13">
        <f>F71+G71</f>
        <v>-130646575</v>
      </c>
    </row>
    <row r="72" spans="4:8" x14ac:dyDescent="0.25">
      <c r="F72" s="15"/>
      <c r="G72" s="21"/>
      <c r="H72" s="15"/>
    </row>
    <row r="73" spans="4:8" x14ac:dyDescent="0.25">
      <c r="D73" t="s">
        <v>69</v>
      </c>
      <c r="E73" t="s">
        <v>37</v>
      </c>
      <c r="F73" s="127">
        <v>-87948465</v>
      </c>
      <c r="G73" s="21"/>
      <c r="H73" s="13"/>
    </row>
    <row r="74" spans="4:8" x14ac:dyDescent="0.25">
      <c r="D74" t="s">
        <v>70</v>
      </c>
      <c r="E74" t="s">
        <v>37</v>
      </c>
      <c r="F74" s="127">
        <v>-20555655</v>
      </c>
      <c r="G74" s="21"/>
      <c r="H74" s="13"/>
    </row>
    <row r="75" spans="4:8" x14ac:dyDescent="0.25">
      <c r="D75" t="s">
        <v>71</v>
      </c>
      <c r="E75" t="s">
        <v>37</v>
      </c>
      <c r="F75" s="126">
        <f>-158166408-SUM(F73:F74)</f>
        <v>-49662288</v>
      </c>
      <c r="G75" s="21"/>
      <c r="H75" s="13"/>
    </row>
    <row r="76" spans="4:8" x14ac:dyDescent="0.25">
      <c r="D76" s="1" t="s">
        <v>72</v>
      </c>
      <c r="E76" s="2" t="s">
        <v>37</v>
      </c>
      <c r="F76" s="14">
        <f>SUM(F73:F75)</f>
        <v>-158166408</v>
      </c>
      <c r="G76" s="45">
        <f>H76-F76</f>
        <v>0</v>
      </c>
      <c r="H76" s="28">
        <f>F76</f>
        <v>-158166408</v>
      </c>
    </row>
    <row r="77" spans="4:8" x14ac:dyDescent="0.25">
      <c r="F77" s="15"/>
      <c r="G77" s="21"/>
      <c r="H77" s="15"/>
    </row>
    <row r="78" spans="4:8" x14ac:dyDescent="0.25">
      <c r="D78" t="s">
        <v>73</v>
      </c>
      <c r="E78" t="s">
        <v>37</v>
      </c>
      <c r="F78" s="127">
        <v>-43554754</v>
      </c>
      <c r="G78" s="22">
        <v>0</v>
      </c>
      <c r="H78" s="13">
        <f>F78+G78</f>
        <v>-43554754</v>
      </c>
    </row>
    <row r="79" spans="4:8" x14ac:dyDescent="0.25">
      <c r="F79" s="130"/>
      <c r="G79" s="22"/>
      <c r="H79" s="15"/>
    </row>
    <row r="80" spans="4:8" x14ac:dyDescent="0.25">
      <c r="D80" t="s">
        <v>74</v>
      </c>
      <c r="E80" t="s">
        <v>37</v>
      </c>
      <c r="F80" s="127">
        <v>-2053376</v>
      </c>
      <c r="G80" s="22">
        <v>0</v>
      </c>
      <c r="H80" s="13">
        <f>F80+G80</f>
        <v>-2053376</v>
      </c>
    </row>
    <row r="81" spans="4:8" x14ac:dyDescent="0.25">
      <c r="F81" s="130"/>
      <c r="G81" s="22"/>
      <c r="H81" s="15"/>
    </row>
    <row r="82" spans="4:8" x14ac:dyDescent="0.25">
      <c r="D82" t="s">
        <v>75</v>
      </c>
      <c r="E82" t="s">
        <v>37</v>
      </c>
      <c r="F82" s="127">
        <f>-2995686</f>
        <v>-2995686</v>
      </c>
      <c r="G82" s="22">
        <v>0</v>
      </c>
      <c r="H82" s="13">
        <f>F82+G82</f>
        <v>-2995686</v>
      </c>
    </row>
    <row r="83" spans="4:8" x14ac:dyDescent="0.25">
      <c r="F83" s="130"/>
      <c r="G83" s="22"/>
      <c r="H83" s="15"/>
    </row>
    <row r="84" spans="4:8" x14ac:dyDescent="0.25">
      <c r="D84" t="s">
        <v>76</v>
      </c>
      <c r="E84" t="s">
        <v>37</v>
      </c>
      <c r="F84" s="127">
        <v>-26115116</v>
      </c>
      <c r="G84" s="22">
        <v>0</v>
      </c>
      <c r="H84" s="13"/>
    </row>
    <row r="85" spans="4:8" x14ac:dyDescent="0.25">
      <c r="D85" t="s">
        <v>77</v>
      </c>
      <c r="E85" t="s">
        <v>37</v>
      </c>
      <c r="F85" s="126">
        <f>-82516161-F84</f>
        <v>-56401045</v>
      </c>
      <c r="G85" s="5">
        <v>0</v>
      </c>
      <c r="H85" s="13"/>
    </row>
    <row r="86" spans="4:8" x14ac:dyDescent="0.25">
      <c r="D86" s="1" t="s">
        <v>78</v>
      </c>
      <c r="E86" s="2" t="s">
        <v>37</v>
      </c>
      <c r="F86" s="14">
        <f>SUM(F84:F85)</f>
        <v>-82516161</v>
      </c>
      <c r="G86" s="23"/>
      <c r="H86" s="14">
        <f>F86+SUM(G84:G85)</f>
        <v>-82516161</v>
      </c>
    </row>
    <row r="87" spans="4:8" ht="15.75" thickBot="1" x14ac:dyDescent="0.3">
      <c r="D87" s="18"/>
      <c r="F87" s="16"/>
      <c r="G87" s="21"/>
      <c r="H87" s="16"/>
    </row>
    <row r="88" spans="4:8" ht="15.75" thickBot="1" x14ac:dyDescent="0.3">
      <c r="D88" s="6" t="s">
        <v>79</v>
      </c>
      <c r="E88" s="7" t="s">
        <v>37</v>
      </c>
      <c r="F88" s="25">
        <f>F61+F67+F69+F71+F76+F78+F80+F82+F86</f>
        <v>-566065349</v>
      </c>
      <c r="G88" s="29">
        <f>SUM(G58:G86)</f>
        <v>-11</v>
      </c>
      <c r="H88" s="25">
        <f>F88+G88</f>
        <v>-566065360</v>
      </c>
    </row>
    <row r="89" spans="4:8" x14ac:dyDescent="0.25">
      <c r="F89" s="15"/>
      <c r="G89" s="21"/>
      <c r="H89" s="15"/>
    </row>
    <row r="90" spans="4:8" x14ac:dyDescent="0.25">
      <c r="D90" s="11" t="s">
        <v>80</v>
      </c>
      <c r="E90" s="12" t="s">
        <v>37</v>
      </c>
      <c r="F90" s="12">
        <f>F56+F88</f>
        <v>281438224</v>
      </c>
      <c r="G90" s="12"/>
      <c r="H9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Operating model</vt:lpstr>
      <vt:lpstr>DDM</vt:lpstr>
      <vt:lpstr>Cost of Equity</vt:lpstr>
      <vt:lpstr>Wangige Historicals</vt:lpstr>
      <vt:lpstr>K unity Historicals</vt:lpstr>
      <vt:lpstr>2025 Data</vt:lpstr>
      <vt:lpstr>2024 Data</vt:lpstr>
      <vt:lpstr>2023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2015-06-05T18:17:20Z</dcterms:created>
  <dcterms:modified xsi:type="dcterms:W3CDTF">2026-07-31T16:30:54Z</dcterms:modified>
</cp:coreProperties>
</file>